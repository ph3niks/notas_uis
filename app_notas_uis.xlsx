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26" width="3.88"/>
  </cols>
  <sheetData>
    <row r="1">
      <c r="A1" s="1" t="str">
        <f>IFERROR(__xludf.DUMMYFUNCTION("IMPORTRANGE(""1IBQjOws3WhAXDJftgpUWc3oN7u_5yElNOe9-ViV3LKs"",""CALC2!A1:X29"")"),"No")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</row>
    <row r="2">
      <c r="A2" s="4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4">
        <f>IFERROR(__xludf.DUMMYFUNCTION("""COMPUTED_VALUE"""),1.5)</f>
        <v>1.5</v>
      </c>
      <c r="D2" s="4">
        <f>IFERROR(__xludf.DUMMYFUNCTION("""COMPUTED_VALUE"""),5.0)</f>
        <v>5</v>
      </c>
      <c r="E2" s="4">
        <f>IFERROR(__xludf.DUMMYFUNCTION("""COMPUTED_VALUE"""),0.0)</f>
        <v>0</v>
      </c>
      <c r="F2" s="4"/>
      <c r="G2" s="4">
        <f>IFERROR(__xludf.DUMMYFUNCTION("""COMPUTED_VALUE"""),2.1)</f>
        <v>2.1</v>
      </c>
      <c r="H2" s="4">
        <f>IFERROR(__xludf.DUMMYFUNCTION("""COMPUTED_VALUE"""),2.0)</f>
        <v>2</v>
      </c>
      <c r="I2" s="4">
        <f>IFERROR(__xludf.DUMMYFUNCTION("""COMPUTED_VALUE"""),3.4)</f>
        <v>3.4</v>
      </c>
      <c r="J2" s="4">
        <f>IFERROR(__xludf.DUMMYFUNCTION("""COMPUTED_VALUE"""),0.0)</f>
        <v>0</v>
      </c>
      <c r="K2" s="4">
        <f>IFERROR(__xludf.DUMMYFUNCTION("""COMPUTED_VALUE"""),0.0)</f>
        <v>0</v>
      </c>
      <c r="L2" s="4">
        <f>IFERROR(__xludf.DUMMYFUNCTION("""COMPUTED_VALUE"""),1.0)</f>
        <v>1</v>
      </c>
      <c r="M2" s="4">
        <f>IFERROR(__xludf.DUMMYFUNCTION("""COMPUTED_VALUE"""),5.0)</f>
        <v>5</v>
      </c>
      <c r="N2" s="4">
        <f>IFERROR(__xludf.DUMMYFUNCTION("""COMPUTED_VALUE"""),3.0)</f>
        <v>3</v>
      </c>
      <c r="O2" s="4">
        <f>IFERROR(__xludf.DUMMYFUNCTION("""COMPUTED_VALUE"""),0.0)</f>
        <v>0</v>
      </c>
      <c r="P2" s="4">
        <f>IFERROR(__xludf.DUMMYFUNCTION("""COMPUTED_VALUE"""),0.0)</f>
        <v>0</v>
      </c>
      <c r="Q2" s="4">
        <f>IFERROR(__xludf.DUMMYFUNCTION("""COMPUTED_VALUE"""),0.0)</f>
        <v>0</v>
      </c>
      <c r="R2" s="4">
        <f>IFERROR(__xludf.DUMMYFUNCTION("""COMPUTED_VALUE"""),0.0)</f>
        <v>0</v>
      </c>
      <c r="S2" s="4"/>
      <c r="T2" s="6">
        <f>IFERROR(__xludf.DUMMYFUNCTION("""COMPUTED_VALUE"""),1.615)</f>
        <v>1.615</v>
      </c>
      <c r="U2" s="7">
        <f>IFERROR(__xludf.DUMMYFUNCTION("""COMPUTED_VALUE"""),0.5383333333333333)</f>
        <v>0.5383333333</v>
      </c>
      <c r="V2" s="4"/>
      <c r="W2" s="4"/>
      <c r="X2" s="4"/>
    </row>
    <row r="3">
      <c r="A3" s="4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4">
        <f>IFERROR(__xludf.DUMMYFUNCTION("""COMPUTED_VALUE"""),4.1)</f>
        <v>4.1</v>
      </c>
      <c r="D3" s="4">
        <f>IFERROR(__xludf.DUMMYFUNCTION("""COMPUTED_VALUE"""),3.4)</f>
        <v>3.4</v>
      </c>
      <c r="E3" s="4">
        <f>IFERROR(__xludf.DUMMYFUNCTION("""COMPUTED_VALUE"""),1.5)</f>
        <v>1.5</v>
      </c>
      <c r="F3" s="4"/>
      <c r="G3" s="4">
        <f>IFERROR(__xludf.DUMMYFUNCTION("""COMPUTED_VALUE"""),4.7)</f>
        <v>4.7</v>
      </c>
      <c r="H3" s="4">
        <f>IFERROR(__xludf.DUMMYFUNCTION("""COMPUTED_VALUE"""),2.0)</f>
        <v>2</v>
      </c>
      <c r="I3" s="4">
        <f>IFERROR(__xludf.DUMMYFUNCTION("""COMPUTED_VALUE"""),3.4)</f>
        <v>3.4</v>
      </c>
      <c r="J3" s="4">
        <f>IFERROR(__xludf.DUMMYFUNCTION("""COMPUTED_VALUE"""),4.1)</f>
        <v>4.1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IFERROR(__xludf.DUMMYFUNCTION("""COMPUTED_VALUE"""),4.6)</f>
        <v>4.6</v>
      </c>
      <c r="N3" s="4">
        <f>IFERROR(__xludf.DUMMYFUNCTION("""COMPUTED_VALUE"""),5.0)</f>
        <v>5</v>
      </c>
      <c r="O3" s="4">
        <f>IFERROR(__xludf.DUMMYFUNCTION("""COMPUTED_VALUE"""),4.0)</f>
        <v>4</v>
      </c>
      <c r="P3" s="4">
        <f>IFERROR(__xludf.DUMMYFUNCTION("""COMPUTED_VALUE"""),5.0)</f>
        <v>5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4"/>
      <c r="T3" s="6">
        <f>IFERROR(__xludf.DUMMYFUNCTION("""COMPUTED_VALUE"""),2.58)</f>
        <v>2.58</v>
      </c>
      <c r="U3" s="7">
        <f>IFERROR(__xludf.DUMMYFUNCTION("""COMPUTED_VALUE"""),0.86)</f>
        <v>0.86</v>
      </c>
      <c r="V3" s="4"/>
      <c r="W3" s="4"/>
      <c r="X3" s="4"/>
    </row>
    <row r="4">
      <c r="A4" s="4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4">
        <f>IFERROR(__xludf.DUMMYFUNCTION("""COMPUTED_VALUE"""),2.2)</f>
        <v>2.2</v>
      </c>
      <c r="D4" s="4">
        <f>IFERROR(__xludf.DUMMYFUNCTION("""COMPUTED_VALUE"""),3.5)</f>
        <v>3.5</v>
      </c>
      <c r="E4" s="4">
        <f>IFERROR(__xludf.DUMMYFUNCTION("""COMPUTED_VALUE"""),1.8)</f>
        <v>1.8</v>
      </c>
      <c r="F4" s="4"/>
      <c r="G4" s="4">
        <f>IFERROR(__xludf.DUMMYFUNCTION("""COMPUTED_VALUE"""),4.9)</f>
        <v>4.9</v>
      </c>
      <c r="H4" s="4">
        <f>IFERROR(__xludf.DUMMYFUNCTION("""COMPUTED_VALUE"""),3.0)</f>
        <v>3</v>
      </c>
      <c r="I4" s="4">
        <f>IFERROR(__xludf.DUMMYFUNCTION("""COMPUTED_VALUE"""),5.0)</f>
        <v>5</v>
      </c>
      <c r="J4" s="4">
        <f>IFERROR(__xludf.DUMMYFUNCTION("""COMPUTED_VALUE"""),4.4)</f>
        <v>4.4</v>
      </c>
      <c r="K4" s="4">
        <f>IFERROR(__xludf.DUMMYFUNCTION("""COMPUTED_VALUE"""),0.0)</f>
        <v>0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>
        <f>IFERROR(__xludf.DUMMYFUNCTION("""COMPUTED_VALUE"""),5.0)</f>
        <v>5</v>
      </c>
      <c r="P4" s="4">
        <f>IFERROR(__xludf.DUMMYFUNCTION("""COMPUTED_VALUE"""),5.0)</f>
        <v>5</v>
      </c>
      <c r="Q4" s="4">
        <f>IFERROR(__xludf.DUMMYFUNCTION("""COMPUTED_VALUE"""),5.0)</f>
        <v>5</v>
      </c>
      <c r="R4" s="4">
        <f>IFERROR(__xludf.DUMMYFUNCTION("""COMPUTED_VALUE"""),3.5)</f>
        <v>3.5</v>
      </c>
      <c r="S4" s="4"/>
      <c r="T4" s="6">
        <f>IFERROR(__xludf.DUMMYFUNCTION("""COMPUTED_VALUE"""),2.325)</f>
        <v>2.325</v>
      </c>
      <c r="U4" s="7">
        <f>IFERROR(__xludf.DUMMYFUNCTION("""COMPUTED_VALUE"""),0.775)</f>
        <v>0.775</v>
      </c>
      <c r="V4" s="4"/>
      <c r="W4" s="4"/>
      <c r="X4" s="4"/>
    </row>
    <row r="5">
      <c r="A5" s="4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4">
        <f>IFERROR(__xludf.DUMMYFUNCTION("""COMPUTED_VALUE"""),3.4)</f>
        <v>3.4</v>
      </c>
      <c r="D5" s="4">
        <f>IFERROR(__xludf.DUMMYFUNCTION("""COMPUTED_VALUE"""),4.1)</f>
        <v>4.1</v>
      </c>
      <c r="E5" s="4">
        <f>IFERROR(__xludf.DUMMYFUNCTION("""COMPUTED_VALUE"""),1.8)</f>
        <v>1.8</v>
      </c>
      <c r="F5" s="4"/>
      <c r="G5" s="4">
        <f>IFERROR(__xludf.DUMMYFUNCTION("""COMPUTED_VALUE"""),4.6)</f>
        <v>4.6</v>
      </c>
      <c r="H5" s="4">
        <f>IFERROR(__xludf.DUMMYFUNCTION("""COMPUTED_VALUE"""),3.6)</f>
        <v>3.6</v>
      </c>
      <c r="I5" s="4">
        <f>IFERROR(__xludf.DUMMYFUNCTION("""COMPUTED_VALUE"""),5.0)</f>
        <v>5</v>
      </c>
      <c r="J5" s="4">
        <f>IFERROR(__xludf.DUMMYFUNCTION("""COMPUTED_VALUE"""),2.5)</f>
        <v>2.5</v>
      </c>
      <c r="K5" s="4">
        <f>IFERROR(__xludf.DUMMYFUNCTION("""COMPUTED_VALUE"""),0.0)</f>
        <v>0</v>
      </c>
      <c r="L5" s="4">
        <f>IFERROR(__xludf.DUMMYFUNCTION("""COMPUTED_VALUE"""),4.4)</f>
        <v>4.4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>
        <f>IFERROR(__xludf.DUMMYFUNCTION("""COMPUTED_VALUE"""),4.0)</f>
        <v>4</v>
      </c>
      <c r="P5" s="4">
        <f>IFERROR(__xludf.DUMMYFUNCTION("""COMPUTED_VALUE"""),5.0)</f>
        <v>5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4"/>
      <c r="T5" s="6">
        <f>IFERROR(__xludf.DUMMYFUNCTION("""COMPUTED_VALUE"""),2.6399999999999997)</f>
        <v>2.64</v>
      </c>
      <c r="U5" s="7">
        <f>IFERROR(__xludf.DUMMYFUNCTION("""COMPUTED_VALUE"""),0.8799999999999999)</f>
        <v>0.88</v>
      </c>
      <c r="V5" s="4"/>
      <c r="W5" s="4"/>
      <c r="X5" s="4"/>
    </row>
    <row r="6">
      <c r="A6" s="4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4">
        <f>IFERROR(__xludf.DUMMYFUNCTION("""COMPUTED_VALUE"""),2.1)</f>
        <v>2.1</v>
      </c>
      <c r="D6" s="4">
        <f>IFERROR(__xludf.DUMMYFUNCTION("""COMPUTED_VALUE"""),4.7)</f>
        <v>4.7</v>
      </c>
      <c r="E6" s="4">
        <f>IFERROR(__xludf.DUMMYFUNCTION("""COMPUTED_VALUE"""),1.8)</f>
        <v>1.8</v>
      </c>
      <c r="F6" s="4"/>
      <c r="G6" s="4">
        <f>IFERROR(__xludf.DUMMYFUNCTION("""COMPUTED_VALUE"""),4.8)</f>
        <v>4.8</v>
      </c>
      <c r="H6" s="4">
        <f>IFERROR(__xludf.DUMMYFUNCTION("""COMPUTED_VALUE"""),2.4)</f>
        <v>2.4</v>
      </c>
      <c r="I6" s="4">
        <f>IFERROR(__xludf.DUMMYFUNCTION("""COMPUTED_VALUE"""),5.0)</f>
        <v>5</v>
      </c>
      <c r="J6" s="4">
        <f>IFERROR(__xludf.DUMMYFUNCTION("""COMPUTED_VALUE"""),5.0)</f>
        <v>5</v>
      </c>
      <c r="K6" s="4">
        <f>IFERROR(__xludf.DUMMYFUNCTION("""COMPUTED_VALUE"""),0.0)</f>
        <v>0</v>
      </c>
      <c r="L6" s="4">
        <f>IFERROR(__xludf.DUMMYFUNCTION("""COMPUTED_VALUE"""),4.5)</f>
        <v>4.5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IFERROR(__xludf.DUMMYFUNCTION("""COMPUTED_VALUE"""),5.0)</f>
        <v>5</v>
      </c>
      <c r="R6" s="4">
        <f>IFERROR(__xludf.DUMMYFUNCTION("""COMPUTED_VALUE"""),3.5)</f>
        <v>3.5</v>
      </c>
      <c r="S6" s="4"/>
      <c r="T6" s="6">
        <f>IFERROR(__xludf.DUMMYFUNCTION("""COMPUTED_VALUE"""),2.5300000000000002)</f>
        <v>2.53</v>
      </c>
      <c r="U6" s="7">
        <f>IFERROR(__xludf.DUMMYFUNCTION("""COMPUTED_VALUE"""),0.8433333333333334)</f>
        <v>0.8433333333</v>
      </c>
      <c r="V6" s="4"/>
      <c r="W6" s="4"/>
      <c r="X6" s="4"/>
    </row>
    <row r="7">
      <c r="A7" s="4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4">
        <f>IFERROR(__xludf.DUMMYFUNCTION("""COMPUTED_VALUE"""),2.1)</f>
        <v>2.1</v>
      </c>
      <c r="D7" s="4">
        <f>IFERROR(__xludf.DUMMYFUNCTION("""COMPUTED_VALUE"""),2.7)</f>
        <v>2.7</v>
      </c>
      <c r="E7" s="4">
        <f>IFERROR(__xludf.DUMMYFUNCTION("""COMPUTED_VALUE"""),1.5)</f>
        <v>1.5</v>
      </c>
      <c r="F7" s="4"/>
      <c r="G7" s="4">
        <f>IFERROR(__xludf.DUMMYFUNCTION("""COMPUTED_VALUE"""),4.5)</f>
        <v>4.5</v>
      </c>
      <c r="H7" s="4">
        <f>IFERROR(__xludf.DUMMYFUNCTION("""COMPUTED_VALUE"""),2.0)</f>
        <v>2</v>
      </c>
      <c r="I7" s="4">
        <f>IFERROR(__xludf.DUMMYFUNCTION("""COMPUTED_VALUE"""),3.4)</f>
        <v>3.4</v>
      </c>
      <c r="J7" s="4">
        <f>IFERROR(__xludf.DUMMYFUNCTION("""COMPUTED_VALUE"""),4.1)</f>
        <v>4.1</v>
      </c>
      <c r="K7" s="4">
        <f>IFERROR(__xludf.DUMMYFUNCTION("""COMPUTED_VALUE"""),4.1)</f>
        <v>4.1</v>
      </c>
      <c r="L7" s="4">
        <f>IFERROR(__xludf.DUMMYFUNCTION("""COMPUTED_VALUE"""),4.5)</f>
        <v>4.5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>
        <f>IFERROR(__xludf.DUMMYFUNCTION("""COMPUTED_VALUE"""),4.0)</f>
        <v>4</v>
      </c>
      <c r="P7" s="4">
        <f>IFERROR(__xludf.DUMMYFUNCTION("""COMPUTED_VALUE"""),5.0)</f>
        <v>5</v>
      </c>
      <c r="Q7" s="4">
        <f>IFERROR(__xludf.DUMMYFUNCTION("""COMPUTED_VALUE"""),0.0)</f>
        <v>0</v>
      </c>
      <c r="R7" s="4">
        <f>IFERROR(__xludf.DUMMYFUNCTION("""COMPUTED_VALUE"""),5.0)</f>
        <v>5</v>
      </c>
      <c r="S7" s="4"/>
      <c r="T7" s="6">
        <f>IFERROR(__xludf.DUMMYFUNCTION("""COMPUTED_VALUE"""),2.0100000000000002)</f>
        <v>2.01</v>
      </c>
      <c r="U7" s="7">
        <f>IFERROR(__xludf.DUMMYFUNCTION("""COMPUTED_VALUE"""),0.67)</f>
        <v>0.67</v>
      </c>
      <c r="V7" s="4"/>
      <c r="W7" s="4"/>
      <c r="X7" s="4"/>
    </row>
    <row r="8">
      <c r="A8" s="4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4">
        <f>IFERROR(__xludf.DUMMYFUNCTION("""COMPUTED_VALUE"""),2.1)</f>
        <v>2.1</v>
      </c>
      <c r="D8" s="4">
        <f>IFERROR(__xludf.DUMMYFUNCTION("""COMPUTED_VALUE"""),2.7)</f>
        <v>2.7</v>
      </c>
      <c r="E8" s="4">
        <f>IFERROR(__xludf.DUMMYFUNCTION("""COMPUTED_VALUE"""),1.3)</f>
        <v>1.3</v>
      </c>
      <c r="F8" s="4"/>
      <c r="G8" s="4">
        <f>IFERROR(__xludf.DUMMYFUNCTION("""COMPUTED_VALUE"""),4.6)</f>
        <v>4.6</v>
      </c>
      <c r="H8" s="4">
        <f>IFERROR(__xludf.DUMMYFUNCTION("""COMPUTED_VALUE"""),2.0)</f>
        <v>2</v>
      </c>
      <c r="I8" s="4">
        <f>IFERROR(__xludf.DUMMYFUNCTION("""COMPUTED_VALUE"""),5.0)</f>
        <v>5</v>
      </c>
      <c r="J8" s="4">
        <f>IFERROR(__xludf.DUMMYFUNCTION("""COMPUTED_VALUE"""),5.0)</f>
        <v>5</v>
      </c>
      <c r="K8" s="4">
        <f>IFERROR(__xludf.DUMMYFUNCTION("""COMPUTED_VALUE"""),0.0)</f>
        <v>0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IFERROR(__xludf.DUMMYFUNCTION("""COMPUTED_VALUE"""),0.0)</f>
        <v>0</v>
      </c>
      <c r="O8" s="4">
        <f>IFERROR(__xludf.DUMMYFUNCTION("""COMPUTED_VALUE"""),5.0)</f>
        <v>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4"/>
      <c r="T8" s="6">
        <f>IFERROR(__xludf.DUMMYFUNCTION("""COMPUTED_VALUE"""),1.975)</f>
        <v>1.975</v>
      </c>
      <c r="U8" s="7">
        <f>IFERROR(__xludf.DUMMYFUNCTION("""COMPUTED_VALUE"""),0.6583333333333333)</f>
        <v>0.6583333333</v>
      </c>
      <c r="V8" s="4"/>
      <c r="W8" s="4"/>
      <c r="X8" s="4"/>
    </row>
    <row r="9">
      <c r="A9" s="4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4">
        <f>IFERROR(__xludf.DUMMYFUNCTION("""COMPUTED_VALUE"""),2.5)</f>
        <v>2.5</v>
      </c>
      <c r="D9" s="4">
        <f>IFERROR(__xludf.DUMMYFUNCTION("""COMPUTED_VALUE"""),4.7)</f>
        <v>4.7</v>
      </c>
      <c r="E9" s="4">
        <f>IFERROR(__xludf.DUMMYFUNCTION("""COMPUTED_VALUE"""),2.2)</f>
        <v>2.2</v>
      </c>
      <c r="F9" s="4"/>
      <c r="G9" s="4">
        <f>IFERROR(__xludf.DUMMYFUNCTION("""COMPUTED_VALUE"""),4.5)</f>
        <v>4.5</v>
      </c>
      <c r="H9" s="4">
        <f>IFERROR(__xludf.DUMMYFUNCTION("""COMPUTED_VALUE"""),3.0)</f>
        <v>3</v>
      </c>
      <c r="I9" s="4">
        <f>IFERROR(__xludf.DUMMYFUNCTION("""COMPUTED_VALUE"""),3.4)</f>
        <v>3.4</v>
      </c>
      <c r="J9" s="4">
        <f>IFERROR(__xludf.DUMMYFUNCTION("""COMPUTED_VALUE"""),4.4)</f>
        <v>4.4</v>
      </c>
      <c r="K9" s="4">
        <f>IFERROR(__xludf.DUMMYFUNCTION("""COMPUTED_VALUE"""),0.0)</f>
        <v>0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>
        <f>IFERROR(__xludf.DUMMYFUNCTION("""COMPUTED_VALUE"""),4.0)</f>
        <v>4</v>
      </c>
      <c r="P9" s="4">
        <f>IFERROR(__xludf.DUMMYFUNCTION("""COMPUTED_VALUE"""),5.0)</f>
        <v>5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4"/>
      <c r="T9" s="6">
        <f>IFERROR(__xludf.DUMMYFUNCTION("""COMPUTED_VALUE"""),2.665)</f>
        <v>2.665</v>
      </c>
      <c r="U9" s="7">
        <f>IFERROR(__xludf.DUMMYFUNCTION("""COMPUTED_VALUE"""),0.8883333333333333)</f>
        <v>0.8883333333</v>
      </c>
      <c r="V9" s="4"/>
      <c r="W9" s="4"/>
      <c r="X9" s="4"/>
    </row>
    <row r="10">
      <c r="A10" s="4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4">
        <f>IFERROR(__xludf.DUMMYFUNCTION("""COMPUTED_VALUE"""),2.6)</f>
        <v>2.6</v>
      </c>
      <c r="D10" s="4">
        <f>IFERROR(__xludf.DUMMYFUNCTION("""COMPUTED_VALUE"""),5.0)</f>
        <v>5</v>
      </c>
      <c r="E10" s="4">
        <f>IFERROR(__xludf.DUMMYFUNCTION("""COMPUTED_VALUE"""),2.0)</f>
        <v>2</v>
      </c>
      <c r="F10" s="4"/>
      <c r="G10" s="4">
        <f>IFERROR(__xludf.DUMMYFUNCTION("""COMPUTED_VALUE"""),4.8)</f>
        <v>4.8</v>
      </c>
      <c r="H10" s="4">
        <f>IFERROR(__xludf.DUMMYFUNCTION("""COMPUTED_VALUE"""),3.5)</f>
        <v>3.5</v>
      </c>
      <c r="I10" s="4">
        <f>IFERROR(__xludf.DUMMYFUNCTION("""COMPUTED_VALUE"""),5.0)</f>
        <v>5</v>
      </c>
      <c r="J10" s="4">
        <f>IFERROR(__xludf.DUMMYFUNCTION("""COMPUTED_VALUE"""),2.9)</f>
        <v>2.9</v>
      </c>
      <c r="K10" s="4">
        <f>IFERROR(__xludf.DUMMYFUNCTION("""COMPUTED_VALUE"""),0.0)</f>
        <v>0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>
        <f>IFERROR(__xludf.DUMMYFUNCTION("""COMPUTED_VALUE"""),5.0)</f>
        <v>5</v>
      </c>
      <c r="P10" s="4">
        <f>IFERROR(__xludf.DUMMYFUNCTION("""COMPUTED_VALUE"""),5.0)</f>
        <v>5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4"/>
      <c r="T10" s="6">
        <f>IFERROR(__xludf.DUMMYFUNCTION("""COMPUTED_VALUE"""),2.74)</f>
        <v>2.74</v>
      </c>
      <c r="U10" s="7">
        <f>IFERROR(__xludf.DUMMYFUNCTION("""COMPUTED_VALUE"""),0.9133333333333334)</f>
        <v>0.9133333333</v>
      </c>
      <c r="V10" s="4"/>
      <c r="W10" s="4"/>
      <c r="X10" s="4"/>
    </row>
    <row r="11">
      <c r="A11" s="4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4">
        <f>IFERROR(__xludf.DUMMYFUNCTION("""COMPUTED_VALUE"""),2.1)</f>
        <v>2.1</v>
      </c>
      <c r="D11" s="4">
        <f>IFERROR(__xludf.DUMMYFUNCTION("""COMPUTED_VALUE"""),4.5)</f>
        <v>4.5</v>
      </c>
      <c r="E11" s="4">
        <f>IFERROR(__xludf.DUMMYFUNCTION("""COMPUTED_VALUE"""),2.0)</f>
        <v>2</v>
      </c>
      <c r="F11" s="4"/>
      <c r="G11" s="4">
        <f>IFERROR(__xludf.DUMMYFUNCTION("""COMPUTED_VALUE"""),4.4)</f>
        <v>4.4</v>
      </c>
      <c r="H11" s="4">
        <f>IFERROR(__xludf.DUMMYFUNCTION("""COMPUTED_VALUE"""),2.0)</f>
        <v>2</v>
      </c>
      <c r="I11" s="4">
        <f>IFERROR(__xludf.DUMMYFUNCTION("""COMPUTED_VALUE"""),0.0)</f>
        <v>0</v>
      </c>
      <c r="J11" s="4">
        <f>IFERROR(__xludf.DUMMYFUNCTION("""COMPUTED_VALUE"""),4.1)</f>
        <v>4.1</v>
      </c>
      <c r="K11" s="4">
        <f>IFERROR(__xludf.DUMMYFUNCTION("""COMPUTED_VALUE"""),0.0)</f>
        <v>0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>
        <f>IFERROR(__xludf.DUMMYFUNCTION("""COMPUTED_VALUE"""),5.0)</f>
        <v>5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IFERROR(__xludf.DUMMYFUNCTION("""COMPUTED_VALUE"""),4.5)</f>
        <v>4.5</v>
      </c>
      <c r="S11" s="4"/>
      <c r="T11" s="6">
        <f>IFERROR(__xludf.DUMMYFUNCTION("""COMPUTED_VALUE"""),2.48)</f>
        <v>2.48</v>
      </c>
      <c r="U11" s="7">
        <f>IFERROR(__xludf.DUMMYFUNCTION("""COMPUTED_VALUE"""),0.8266666666666667)</f>
        <v>0.8266666667</v>
      </c>
      <c r="V11" s="4"/>
      <c r="W11" s="4"/>
      <c r="X11" s="4"/>
    </row>
    <row r="12">
      <c r="A12" s="4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4">
        <f>IFERROR(__xludf.DUMMYFUNCTION("""COMPUTED_VALUE"""),3.2)</f>
        <v>3.2</v>
      </c>
      <c r="D12" s="4">
        <f>IFERROR(__xludf.DUMMYFUNCTION("""COMPUTED_VALUE"""),4.2)</f>
        <v>4.2</v>
      </c>
      <c r="E12" s="4">
        <f>IFERROR(__xludf.DUMMYFUNCTION("""COMPUTED_VALUE"""),1.5)</f>
        <v>1.5</v>
      </c>
      <c r="F12" s="4"/>
      <c r="G12" s="4">
        <f>IFERROR(__xludf.DUMMYFUNCTION("""COMPUTED_VALUE"""),3.1)</f>
        <v>3.1</v>
      </c>
      <c r="H12" s="4">
        <f>IFERROR(__xludf.DUMMYFUNCTION("""COMPUTED_VALUE"""),2.0)</f>
        <v>2</v>
      </c>
      <c r="I12" s="4">
        <f>IFERROR(__xludf.DUMMYFUNCTION("""COMPUTED_VALUE"""),0.0)</f>
        <v>0</v>
      </c>
      <c r="J12" s="4">
        <f>IFERROR(__xludf.DUMMYFUNCTION("""COMPUTED_VALUE"""),5.0)</f>
        <v>5</v>
      </c>
      <c r="K12" s="4">
        <f>IFERROR(__xludf.DUMMYFUNCTION("""COMPUTED_VALUE"""),0.0)</f>
        <v>0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>
        <f>IFERROR(__xludf.DUMMYFUNCTION("""COMPUTED_VALUE"""),0.0)</f>
        <v>0</v>
      </c>
      <c r="P12" s="4">
        <f>IFERROR(__xludf.DUMMYFUNCTION("""COMPUTED_VALUE"""),0.0)</f>
        <v>0</v>
      </c>
      <c r="Q12" s="4">
        <f>IFERROR(__xludf.DUMMYFUNCTION("""COMPUTED_VALUE"""),5.0)</f>
        <v>5</v>
      </c>
      <c r="R12" s="4">
        <f>IFERROR(__xludf.DUMMYFUNCTION("""COMPUTED_VALUE"""),4.5)</f>
        <v>4.5</v>
      </c>
      <c r="S12" s="4"/>
      <c r="T12" s="6">
        <f>IFERROR(__xludf.DUMMYFUNCTION("""COMPUTED_VALUE"""),2.3200000000000003)</f>
        <v>2.32</v>
      </c>
      <c r="U12" s="7">
        <f>IFERROR(__xludf.DUMMYFUNCTION("""COMPUTED_VALUE"""),0.7733333333333334)</f>
        <v>0.7733333333</v>
      </c>
      <c r="V12" s="4"/>
      <c r="W12" s="4"/>
      <c r="X12" s="4"/>
    </row>
    <row r="13">
      <c r="A13" s="4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4">
        <f>IFERROR(__xludf.DUMMYFUNCTION("""COMPUTED_VALUE"""),1.5)</f>
        <v>1.5</v>
      </c>
      <c r="D13" s="4">
        <f>IFERROR(__xludf.DUMMYFUNCTION("""COMPUTED_VALUE"""),0.0)</f>
        <v>0</v>
      </c>
      <c r="E13" s="4">
        <f>IFERROR(__xludf.DUMMYFUNCTION("""COMPUTED_VALUE"""),1.0)</f>
        <v>1</v>
      </c>
      <c r="F13" s="4"/>
      <c r="G13" s="4">
        <f>IFERROR(__xludf.DUMMYFUNCTION("""COMPUTED_VALUE"""),2.1)</f>
        <v>2.1</v>
      </c>
      <c r="H13" s="4">
        <f>IFERROR(__xludf.DUMMYFUNCTION("""COMPUTED_VALUE"""),2.0)</f>
        <v>2</v>
      </c>
      <c r="I13" s="4">
        <f>IFERROR(__xludf.DUMMYFUNCTION("""COMPUTED_VALUE"""),3.4)</f>
        <v>3.4</v>
      </c>
      <c r="J13" s="4">
        <f>IFERROR(__xludf.DUMMYFUNCTION("""COMPUTED_VALUE"""),0.0)</f>
        <v>0</v>
      </c>
      <c r="K13" s="4">
        <f>IFERROR(__xludf.DUMMYFUNCTION("""COMPUTED_VALUE"""),0.0)</f>
        <v>0</v>
      </c>
      <c r="L13" s="4">
        <f>IFERROR(__xludf.DUMMYFUNCTION("""COMPUTED_VALUE"""),0.0)</f>
        <v>0</v>
      </c>
      <c r="M13" s="4">
        <f>IFERROR(__xludf.DUMMYFUNCTION("""COMPUTED_VALUE"""),0.0)</f>
        <v>0</v>
      </c>
      <c r="N13" s="4">
        <f>IFERROR(__xludf.DUMMYFUNCTION("""COMPUTED_VALUE"""),0.0)</f>
        <v>0</v>
      </c>
      <c r="O13" s="4">
        <f>IFERROR(__xludf.DUMMYFUNCTION("""COMPUTED_VALUE"""),4.0)</f>
        <v>4</v>
      </c>
      <c r="P13" s="4">
        <f>IFERROR(__xludf.DUMMYFUNCTION("""COMPUTED_VALUE"""),5.0)</f>
        <v>5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4"/>
      <c r="T13" s="6">
        <f>IFERROR(__xludf.DUMMYFUNCTION("""COMPUTED_VALUE"""),0.865)</f>
        <v>0.865</v>
      </c>
      <c r="U13" s="7">
        <f>IFERROR(__xludf.DUMMYFUNCTION("""COMPUTED_VALUE"""),0.28833333333333333)</f>
        <v>0.2883333333</v>
      </c>
      <c r="V13" s="4"/>
      <c r="W13" s="4"/>
      <c r="X13" s="4"/>
    </row>
    <row r="14">
      <c r="A14" s="4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4">
        <f>IFERROR(__xludf.DUMMYFUNCTION("""COMPUTED_VALUE"""),4.7)</f>
        <v>4.7</v>
      </c>
      <c r="D14" s="4">
        <f>IFERROR(__xludf.DUMMYFUNCTION("""COMPUTED_VALUE"""),5.0)</f>
        <v>5</v>
      </c>
      <c r="E14" s="4">
        <f>IFERROR(__xludf.DUMMYFUNCTION("""COMPUTED_VALUE"""),2.3)</f>
        <v>2.3</v>
      </c>
      <c r="F14" s="4"/>
      <c r="G14" s="4">
        <f>IFERROR(__xludf.DUMMYFUNCTION("""COMPUTED_VALUE"""),4.4)</f>
        <v>4.4</v>
      </c>
      <c r="H14" s="4">
        <f>IFERROR(__xludf.DUMMYFUNCTION("""COMPUTED_VALUE"""),3.0)</f>
        <v>3</v>
      </c>
      <c r="I14" s="4">
        <f>IFERROR(__xludf.DUMMYFUNCTION("""COMPUTED_VALUE"""),3.4)</f>
        <v>3.4</v>
      </c>
      <c r="J14" s="4">
        <f>IFERROR(__xludf.DUMMYFUNCTION("""COMPUTED_VALUE"""),4.4)</f>
        <v>4.4</v>
      </c>
      <c r="K14" s="4">
        <f>IFERROR(__xludf.DUMMYFUNCTION("""COMPUTED_VALUE"""),0.0)</f>
        <v>0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>
        <f>IFERROR(__xludf.DUMMYFUNCTION("""COMPUTED_VALUE"""),4.0)</f>
        <v>4</v>
      </c>
      <c r="P14" s="4">
        <f>IFERROR(__xludf.DUMMYFUNCTION("""COMPUTED_VALUE"""),4.0)</f>
        <v>4</v>
      </c>
      <c r="Q14" s="4">
        <f>IFERROR(__xludf.DUMMYFUNCTION("""COMPUTED_VALUE"""),5.0)</f>
        <v>5</v>
      </c>
      <c r="R14" s="4">
        <f>IFERROR(__xludf.DUMMYFUNCTION("""COMPUTED_VALUE"""),5.0)</f>
        <v>5</v>
      </c>
      <c r="S14" s="4"/>
      <c r="T14" s="6">
        <f>IFERROR(__xludf.DUMMYFUNCTION("""COMPUTED_VALUE"""),3.175)</f>
        <v>3.175</v>
      </c>
      <c r="U14" s="7">
        <f>IFERROR(__xludf.DUMMYFUNCTION("""COMPUTED_VALUE"""),1.0583333333333333)</f>
        <v>1.058333333</v>
      </c>
      <c r="V14" s="4"/>
      <c r="W14" s="4"/>
      <c r="X14" s="4"/>
    </row>
    <row r="15">
      <c r="A15" s="4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4">
        <f>IFERROR(__xludf.DUMMYFUNCTION("""COMPUTED_VALUE"""),3.3)</f>
        <v>3.3</v>
      </c>
      <c r="D15" s="4">
        <f>IFERROR(__xludf.DUMMYFUNCTION("""COMPUTED_VALUE"""),5.0)</f>
        <v>5</v>
      </c>
      <c r="E15" s="4">
        <f>IFERROR(__xludf.DUMMYFUNCTION("""COMPUTED_VALUE"""),1.0)</f>
        <v>1</v>
      </c>
      <c r="F15" s="4"/>
      <c r="G15" s="4">
        <f>IFERROR(__xludf.DUMMYFUNCTION("""COMPUTED_VALUE"""),4.6)</f>
        <v>4.6</v>
      </c>
      <c r="H15" s="4">
        <f>IFERROR(__xludf.DUMMYFUNCTION("""COMPUTED_VALUE"""),4.6)</f>
        <v>4.6</v>
      </c>
      <c r="I15" s="4">
        <f>IFERROR(__xludf.DUMMYFUNCTION("""COMPUTED_VALUE"""),5.0)</f>
        <v>5</v>
      </c>
      <c r="J15" s="4">
        <f>IFERROR(__xludf.DUMMYFUNCTION("""COMPUTED_VALUE"""),4.4)</f>
        <v>4.4</v>
      </c>
      <c r="K15" s="4">
        <f>IFERROR(__xludf.DUMMYFUNCTION("""COMPUTED_VALUE"""),0.0)</f>
        <v>0</v>
      </c>
      <c r="L15" s="4">
        <f>IFERROR(__xludf.DUMMYFUNCTION("""COMPUTED_VALUE"""),3.2)</f>
        <v>3.2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>
        <f>IFERROR(__xludf.DUMMYFUNCTION("""COMPUTED_VALUE"""),5.0)</f>
        <v>5</v>
      </c>
      <c r="P15" s="4">
        <f>IFERROR(__xludf.DUMMYFUNCTION("""COMPUTED_VALUE"""),5.0)</f>
        <v>5</v>
      </c>
      <c r="Q15" s="4"/>
      <c r="R15" s="4">
        <f>IFERROR(__xludf.DUMMYFUNCTION("""COMPUTED_VALUE"""),0.0)</f>
        <v>0</v>
      </c>
      <c r="S15" s="4"/>
      <c r="T15" s="6">
        <f>IFERROR(__xludf.DUMMYFUNCTION("""COMPUTED_VALUE"""),2.6)</f>
        <v>2.6</v>
      </c>
      <c r="U15" s="7">
        <f>IFERROR(__xludf.DUMMYFUNCTION("""COMPUTED_VALUE"""),0.8666666666666667)</f>
        <v>0.8666666667</v>
      </c>
      <c r="V15" s="4"/>
      <c r="W15" s="4"/>
      <c r="X15" s="4"/>
    </row>
    <row r="16">
      <c r="A16" s="4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4">
        <f>IFERROR(__xludf.DUMMYFUNCTION("""COMPUTED_VALUE"""),4.1)</f>
        <v>4.1</v>
      </c>
      <c r="D16" s="4">
        <f>IFERROR(__xludf.DUMMYFUNCTION("""COMPUTED_VALUE"""),5.0)</f>
        <v>5</v>
      </c>
      <c r="E16" s="4">
        <f>IFERROR(__xludf.DUMMYFUNCTION("""COMPUTED_VALUE"""),1.3)</f>
        <v>1.3</v>
      </c>
      <c r="F16" s="4"/>
      <c r="G16" s="4">
        <f>IFERROR(__xludf.DUMMYFUNCTION("""COMPUTED_VALUE"""),4.1)</f>
        <v>4.1</v>
      </c>
      <c r="H16" s="4">
        <f>IFERROR(__xludf.DUMMYFUNCTION("""COMPUTED_VALUE"""),2.5)</f>
        <v>2.5</v>
      </c>
      <c r="I16" s="4">
        <f>IFERROR(__xludf.DUMMYFUNCTION("""COMPUTED_VALUE"""),4.0)</f>
        <v>4</v>
      </c>
      <c r="J16" s="4">
        <f>IFERROR(__xludf.DUMMYFUNCTION("""COMPUTED_VALUE"""),3.4)</f>
        <v>3.4</v>
      </c>
      <c r="K16" s="4">
        <f>IFERROR(__xludf.DUMMYFUNCTION("""COMPUTED_VALUE"""),3.0)</f>
        <v>3</v>
      </c>
      <c r="L16" s="4">
        <f>IFERROR(__xludf.DUMMYFUNCTION("""COMPUTED_VALUE"""),5.0)</f>
        <v>5</v>
      </c>
      <c r="M16" s="4">
        <f>IFERROR(__xludf.DUMMYFUNCTION("""COMPUTED_VALUE"""),4.0)</f>
        <v>4</v>
      </c>
      <c r="N16" s="4">
        <f>IFERROR(__xludf.DUMMYFUNCTION("""COMPUTED_VALUE"""),0.0)</f>
        <v>0</v>
      </c>
      <c r="O16" s="4">
        <f>IFERROR(__xludf.DUMMYFUNCTION("""COMPUTED_VALUE"""),4.0)</f>
        <v>4</v>
      </c>
      <c r="P16" s="4">
        <f>IFERROR(__xludf.DUMMYFUNCTION("""COMPUTED_VALUE"""),5.0)</f>
        <v>5</v>
      </c>
      <c r="Q16" s="4">
        <f>IFERROR(__xludf.DUMMYFUNCTION("""COMPUTED_VALUE"""),0.0)</f>
        <v>0</v>
      </c>
      <c r="R16" s="4">
        <f>IFERROR(__xludf.DUMMYFUNCTION("""COMPUTED_VALUE"""),5.0)</f>
        <v>5</v>
      </c>
      <c r="S16" s="4"/>
      <c r="T16" s="6">
        <f>IFERROR(__xludf.DUMMYFUNCTION("""COMPUTED_VALUE"""),2.76)</f>
        <v>2.76</v>
      </c>
      <c r="U16" s="7">
        <f>IFERROR(__xludf.DUMMYFUNCTION("""COMPUTED_VALUE"""),0.9199999999999999)</f>
        <v>0.92</v>
      </c>
      <c r="V16" s="4"/>
      <c r="W16" s="4"/>
      <c r="X16" s="4"/>
    </row>
    <row r="17">
      <c r="A17" s="4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4">
        <f>IFERROR(__xludf.DUMMYFUNCTION("""COMPUTED_VALUE"""),2.0)</f>
        <v>2</v>
      </c>
      <c r="D17" s="4">
        <f>IFERROR(__xludf.DUMMYFUNCTION("""COMPUTED_VALUE"""),3.6)</f>
        <v>3.6</v>
      </c>
      <c r="E17" s="4">
        <f>IFERROR(__xludf.DUMMYFUNCTION("""COMPUTED_VALUE"""),1.5)</f>
        <v>1.5</v>
      </c>
      <c r="F17" s="4"/>
      <c r="G17" s="4">
        <f>IFERROR(__xludf.DUMMYFUNCTION("""COMPUTED_VALUE"""),5.0)</f>
        <v>5</v>
      </c>
      <c r="H17" s="4">
        <f>IFERROR(__xludf.DUMMYFUNCTION("""COMPUTED_VALUE"""),2.0)</f>
        <v>2</v>
      </c>
      <c r="I17" s="4">
        <f>IFERROR(__xludf.DUMMYFUNCTION("""COMPUTED_VALUE"""),5.0)</f>
        <v>5</v>
      </c>
      <c r="J17" s="4">
        <f>IFERROR(__xludf.DUMMYFUNCTION("""COMPUTED_VALUE"""),5.0)</f>
        <v>5</v>
      </c>
      <c r="K17" s="4">
        <f>IFERROR(__xludf.DUMMYFUNCTION("""COMPUTED_VALUE"""),0.0)</f>
        <v>0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>
        <f>IFERROR(__xludf.DUMMYFUNCTION("""COMPUTED_VALUE"""),5.0)</f>
        <v>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4"/>
      <c r="T17" s="6">
        <f>IFERROR(__xludf.DUMMYFUNCTION("""COMPUTED_VALUE"""),2.245)</f>
        <v>2.245</v>
      </c>
      <c r="U17" s="7">
        <f>IFERROR(__xludf.DUMMYFUNCTION("""COMPUTED_VALUE"""),0.7483333333333334)</f>
        <v>0.7483333333</v>
      </c>
      <c r="V17" s="4"/>
      <c r="W17" s="4"/>
      <c r="X17" s="4"/>
    </row>
    <row r="18">
      <c r="A18" s="4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4">
        <f>IFERROR(__xludf.DUMMYFUNCTION("""COMPUTED_VALUE"""),3.7)</f>
        <v>3.7</v>
      </c>
      <c r="D18" s="4">
        <f>IFERROR(__xludf.DUMMYFUNCTION("""COMPUTED_VALUE"""),5.0)</f>
        <v>5</v>
      </c>
      <c r="E18" s="4">
        <f>IFERROR(__xludf.DUMMYFUNCTION("""COMPUTED_VALUE"""),1.5)</f>
        <v>1.5</v>
      </c>
      <c r="F18" s="4"/>
      <c r="G18" s="4">
        <f>IFERROR(__xludf.DUMMYFUNCTION("""COMPUTED_VALUE"""),5.0)</f>
        <v>5</v>
      </c>
      <c r="H18" s="4">
        <f>IFERROR(__xludf.DUMMYFUNCTION("""COMPUTED_VALUE"""),4.5)</f>
        <v>4.5</v>
      </c>
      <c r="I18" s="4">
        <f>IFERROR(__xludf.DUMMYFUNCTION("""COMPUTED_VALUE"""),5.0)</f>
        <v>5</v>
      </c>
      <c r="J18" s="4">
        <f>IFERROR(__xludf.DUMMYFUNCTION("""COMPUTED_VALUE"""),5.0)</f>
        <v>5</v>
      </c>
      <c r="K18" s="4">
        <f>IFERROR(__xludf.DUMMYFUNCTION("""COMPUTED_VALUE"""),0.0)</f>
        <v>0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>
        <f>IFERROR(__xludf.DUMMYFUNCTION("""COMPUTED_VALUE"""),5.0)</f>
        <v>5</v>
      </c>
      <c r="P18" s="4">
        <f>IFERROR(__xludf.DUMMYFUNCTION("""COMPUTED_VALUE"""),5.0)</f>
        <v>5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4"/>
      <c r="T18" s="6">
        <f>IFERROR(__xludf.DUMMYFUNCTION("""COMPUTED_VALUE"""),2.865)</f>
        <v>2.865</v>
      </c>
      <c r="U18" s="7">
        <f>IFERROR(__xludf.DUMMYFUNCTION("""COMPUTED_VALUE"""),0.9550000000000001)</f>
        <v>0.955</v>
      </c>
      <c r="V18" s="4"/>
      <c r="W18" s="4"/>
      <c r="X18" s="4"/>
    </row>
    <row r="19">
      <c r="A19" s="4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4">
        <f>IFERROR(__xludf.DUMMYFUNCTION("""COMPUTED_VALUE"""),3.2)</f>
        <v>3.2</v>
      </c>
      <c r="D19" s="4">
        <f>IFERROR(__xludf.DUMMYFUNCTION("""COMPUTED_VALUE"""),3.0)</f>
        <v>3</v>
      </c>
      <c r="E19" s="4">
        <f>IFERROR(__xludf.DUMMYFUNCTION("""COMPUTED_VALUE"""),2.0)</f>
        <v>2</v>
      </c>
      <c r="F19" s="4"/>
      <c r="G19" s="4">
        <f>IFERROR(__xludf.DUMMYFUNCTION("""COMPUTED_VALUE"""),4.6)</f>
        <v>4.6</v>
      </c>
      <c r="H19" s="4">
        <f>IFERROR(__xludf.DUMMYFUNCTION("""COMPUTED_VALUE"""),3.5)</f>
        <v>3.5</v>
      </c>
      <c r="I19" s="4">
        <f>IFERROR(__xludf.DUMMYFUNCTION("""COMPUTED_VALUE"""),3.4)</f>
        <v>3.4</v>
      </c>
      <c r="J19" s="4">
        <f>IFERROR(__xludf.DUMMYFUNCTION("""COMPUTED_VALUE"""),4.4)</f>
        <v>4.4</v>
      </c>
      <c r="K19" s="4">
        <f>IFERROR(__xludf.DUMMYFUNCTION("""COMPUTED_VALUE"""),0.0)</f>
        <v>0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>
        <f>IFERROR(__xludf.DUMMYFUNCTION("""COMPUTED_VALUE"""),4.0)</f>
        <v>4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4"/>
      <c r="T19" s="6">
        <f>IFERROR(__xludf.DUMMYFUNCTION("""COMPUTED_VALUE"""),2.43)</f>
        <v>2.43</v>
      </c>
      <c r="U19" s="7">
        <f>IFERROR(__xludf.DUMMYFUNCTION("""COMPUTED_VALUE"""),0.81)</f>
        <v>0.81</v>
      </c>
      <c r="V19" s="4"/>
      <c r="W19" s="4"/>
      <c r="X19" s="4"/>
    </row>
    <row r="20">
      <c r="A20" s="4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4">
        <f>IFERROR(__xludf.DUMMYFUNCTION("""COMPUTED_VALUE"""),4.9)</f>
        <v>4.9</v>
      </c>
      <c r="D20" s="4">
        <f>IFERROR(__xludf.DUMMYFUNCTION("""COMPUTED_VALUE"""),5.0)</f>
        <v>5</v>
      </c>
      <c r="E20" s="4">
        <f>IFERROR(__xludf.DUMMYFUNCTION("""COMPUTED_VALUE"""),2.4)</f>
        <v>2.4</v>
      </c>
      <c r="F20" s="4"/>
      <c r="G20" s="4">
        <f>IFERROR(__xludf.DUMMYFUNCTION("""COMPUTED_VALUE"""),4.3)</f>
        <v>4.3</v>
      </c>
      <c r="H20" s="4">
        <f>IFERROR(__xludf.DUMMYFUNCTION("""COMPUTED_VALUE"""),3.5)</f>
        <v>3.5</v>
      </c>
      <c r="I20" s="4">
        <f>IFERROR(__xludf.DUMMYFUNCTION("""COMPUTED_VALUE"""),3.4)</f>
        <v>3.4</v>
      </c>
      <c r="J20" s="4">
        <f>IFERROR(__xludf.DUMMYFUNCTION("""COMPUTED_VALUE"""),3.5)</f>
        <v>3.5</v>
      </c>
      <c r="K20" s="4">
        <f>IFERROR(__xludf.DUMMYFUNCTION("""COMPUTED_VALUE"""),0.0)</f>
        <v>0</v>
      </c>
      <c r="L20" s="4">
        <f>IFERROR(__xludf.DUMMYFUNCTION("""COMPUTED_VALUE"""),4.5)</f>
        <v>4.5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>
        <f>IFERROR(__xludf.DUMMYFUNCTION("""COMPUTED_VALUE"""),3.0)</f>
        <v>3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4"/>
      <c r="T20" s="6">
        <f>IFERROR(__xludf.DUMMYFUNCTION("""COMPUTED_VALUE"""),3.225)</f>
        <v>3.225</v>
      </c>
      <c r="U20" s="7">
        <f>IFERROR(__xludf.DUMMYFUNCTION("""COMPUTED_VALUE"""),1.075)</f>
        <v>1.075</v>
      </c>
      <c r="V20" s="4"/>
      <c r="W20" s="4"/>
      <c r="X20" s="4"/>
    </row>
    <row r="21">
      <c r="A21" s="4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4">
        <f>IFERROR(__xludf.DUMMYFUNCTION("""COMPUTED_VALUE"""),3.7)</f>
        <v>3.7</v>
      </c>
      <c r="D21" s="4">
        <f>IFERROR(__xludf.DUMMYFUNCTION("""COMPUTED_VALUE"""),5.0)</f>
        <v>5</v>
      </c>
      <c r="E21" s="4">
        <f>IFERROR(__xludf.DUMMYFUNCTION("""COMPUTED_VALUE"""),2.2)</f>
        <v>2.2</v>
      </c>
      <c r="F21" s="4"/>
      <c r="G21" s="4">
        <f>IFERROR(__xludf.DUMMYFUNCTION("""COMPUTED_VALUE"""),4.5)</f>
        <v>4.5</v>
      </c>
      <c r="H21" s="4">
        <f>IFERROR(__xludf.DUMMYFUNCTION("""COMPUTED_VALUE"""),3.6)</f>
        <v>3.6</v>
      </c>
      <c r="I21" s="4">
        <f>IFERROR(__xludf.DUMMYFUNCTION("""COMPUTED_VALUE"""),5.0)</f>
        <v>5</v>
      </c>
      <c r="J21" s="4">
        <f>IFERROR(__xludf.DUMMYFUNCTION("""COMPUTED_VALUE"""),5.0)</f>
        <v>5</v>
      </c>
      <c r="K21" s="4">
        <f>IFERROR(__xludf.DUMMYFUNCTION("""COMPUTED_VALUE"""),0.0)</f>
        <v>0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>
        <f>IFERROR(__xludf.DUMMYFUNCTION("""COMPUTED_VALUE"""),2.0)</f>
        <v>2</v>
      </c>
      <c r="P21" s="4">
        <f>IFERROR(__xludf.DUMMYFUNCTION("""COMPUTED_VALUE"""),3.0)</f>
        <v>3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4"/>
      <c r="T21" s="6">
        <f>IFERROR(__xludf.DUMMYFUNCTION("""COMPUTED_VALUE"""),2.965)</f>
        <v>2.965</v>
      </c>
      <c r="U21" s="7">
        <f>IFERROR(__xludf.DUMMYFUNCTION("""COMPUTED_VALUE"""),0.9883333333333333)</f>
        <v>0.9883333333</v>
      </c>
      <c r="V21" s="4"/>
      <c r="W21" s="4"/>
      <c r="X21" s="4"/>
    </row>
    <row r="22">
      <c r="A22" s="4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4">
        <f>IFERROR(__xludf.DUMMYFUNCTION("""COMPUTED_VALUE"""),2.3)</f>
        <v>2.3</v>
      </c>
      <c r="D22" s="4">
        <f>IFERROR(__xludf.DUMMYFUNCTION("""COMPUTED_VALUE"""),3.4)</f>
        <v>3.4</v>
      </c>
      <c r="E22" s="4">
        <f>IFERROR(__xludf.DUMMYFUNCTION("""COMPUTED_VALUE"""),2.2)</f>
        <v>2.2</v>
      </c>
      <c r="F22" s="4"/>
      <c r="G22" s="4">
        <f>IFERROR(__xludf.DUMMYFUNCTION("""COMPUTED_VALUE"""),4.5)</f>
        <v>4.5</v>
      </c>
      <c r="H22" s="4">
        <f>IFERROR(__xludf.DUMMYFUNCTION("""COMPUTED_VALUE"""),2.4)</f>
        <v>2.4</v>
      </c>
      <c r="I22" s="4">
        <f>IFERROR(__xludf.DUMMYFUNCTION("""COMPUTED_VALUE"""),0.0)</f>
        <v>0</v>
      </c>
      <c r="J22" s="4">
        <f>IFERROR(__xludf.DUMMYFUNCTION("""COMPUTED_VALUE"""),4.4)</f>
        <v>4.4</v>
      </c>
      <c r="K22" s="4">
        <f>IFERROR(__xludf.DUMMYFUNCTION("""COMPUTED_VALUE"""),0.0)</f>
        <v>0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>
        <f>IFERROR(__xludf.DUMMYFUNCTION("""COMPUTED_VALUE"""),5.0)</f>
        <v>5</v>
      </c>
      <c r="P22" s="4">
        <f>IFERROR(__xludf.DUMMYFUNCTION("""COMPUTED_VALUE"""),5.0)</f>
        <v>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4"/>
      <c r="T22" s="6">
        <f>IFERROR(__xludf.DUMMYFUNCTION("""COMPUTED_VALUE"""),2.3649999999999998)</f>
        <v>2.365</v>
      </c>
      <c r="U22" s="7">
        <f>IFERROR(__xludf.DUMMYFUNCTION("""COMPUTED_VALUE"""),0.7883333333333332)</f>
        <v>0.7883333333</v>
      </c>
      <c r="V22" s="4"/>
      <c r="W22" s="4"/>
      <c r="X22" s="4"/>
    </row>
    <row r="23">
      <c r="A23" s="4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4">
        <f>IFERROR(__xludf.DUMMYFUNCTION("""COMPUTED_VALUE"""),2.4)</f>
        <v>2.4</v>
      </c>
      <c r="D23" s="4">
        <f>IFERROR(__xludf.DUMMYFUNCTION("""COMPUTED_VALUE"""),3.2)</f>
        <v>3.2</v>
      </c>
      <c r="E23" s="4">
        <f>IFERROR(__xludf.DUMMYFUNCTION("""COMPUTED_VALUE"""),2.0)</f>
        <v>2</v>
      </c>
      <c r="F23" s="4"/>
      <c r="G23" s="4">
        <f>IFERROR(__xludf.DUMMYFUNCTION("""COMPUTED_VALUE"""),4.7)</f>
        <v>4.7</v>
      </c>
      <c r="H23" s="4">
        <f>IFERROR(__xludf.DUMMYFUNCTION("""COMPUTED_VALUE"""),3.8)</f>
        <v>3.8</v>
      </c>
      <c r="I23" s="4">
        <f>IFERROR(__xludf.DUMMYFUNCTION("""COMPUTED_VALUE"""),0.0)</f>
        <v>0</v>
      </c>
      <c r="J23" s="4">
        <f>IFERROR(__xludf.DUMMYFUNCTION("""COMPUTED_VALUE"""),5.0)</f>
        <v>5</v>
      </c>
      <c r="K23" s="4">
        <f>IFERROR(__xludf.DUMMYFUNCTION("""COMPUTED_VALUE"""),0.0)</f>
        <v>0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>
        <f>IFERROR(__xludf.DUMMYFUNCTION("""COMPUTED_VALUE"""),4.0)</f>
        <v>4</v>
      </c>
      <c r="P23" s="4">
        <f>IFERROR(__xludf.DUMMYFUNCTION("""COMPUTED_VALUE"""),5.0)</f>
        <v>5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4"/>
      <c r="T23" s="6">
        <f>IFERROR(__xludf.DUMMYFUNCTION("""COMPUTED_VALUE"""),2.3249999999999997)</f>
        <v>2.325</v>
      </c>
      <c r="U23" s="7">
        <f>IFERROR(__xludf.DUMMYFUNCTION("""COMPUTED_VALUE"""),0.7749999999999999)</f>
        <v>0.775</v>
      </c>
      <c r="V23" s="4"/>
      <c r="W23" s="4"/>
      <c r="X23" s="4"/>
    </row>
    <row r="24">
      <c r="A24" s="4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4">
        <f>IFERROR(__xludf.DUMMYFUNCTION("""COMPUTED_VALUE"""),2.4)</f>
        <v>2.4</v>
      </c>
      <c r="D24" s="4">
        <f>IFERROR(__xludf.DUMMYFUNCTION("""COMPUTED_VALUE"""),3.0)</f>
        <v>3</v>
      </c>
      <c r="E24" s="4">
        <f>IFERROR(__xludf.DUMMYFUNCTION("""COMPUTED_VALUE"""),2.0)</f>
        <v>2</v>
      </c>
      <c r="F24" s="4"/>
      <c r="G24" s="4">
        <f>IFERROR(__xludf.DUMMYFUNCTION("""COMPUTED_VALUE"""),4.8)</f>
        <v>4.8</v>
      </c>
      <c r="H24" s="4">
        <f>IFERROR(__xludf.DUMMYFUNCTION("""COMPUTED_VALUE"""),3.0)</f>
        <v>3</v>
      </c>
      <c r="I24" s="4">
        <f>IFERROR(__xludf.DUMMYFUNCTION("""COMPUTED_VALUE"""),5.0)</f>
        <v>5</v>
      </c>
      <c r="J24" s="4">
        <f>IFERROR(__xludf.DUMMYFUNCTION("""COMPUTED_VALUE"""),4.4)</f>
        <v>4.4</v>
      </c>
      <c r="K24" s="4">
        <f>IFERROR(__xludf.DUMMYFUNCTION("""COMPUTED_VALUE"""),0.0)</f>
        <v>0</v>
      </c>
      <c r="L24" s="4">
        <f>IFERROR(__xludf.DUMMYFUNCTION("""COMPUTED_VALUE"""),4.4)</f>
        <v>4.4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>
        <f>IFERROR(__xludf.DUMMYFUNCTION("""COMPUTED_VALUE"""),5.0)</f>
        <v>5</v>
      </c>
      <c r="P24" s="4">
        <f>IFERROR(__xludf.DUMMYFUNCTION("""COMPUTED_VALUE"""),5.0)</f>
        <v>5</v>
      </c>
      <c r="Q24" s="4">
        <f>IFERROR(__xludf.DUMMYFUNCTION("""COMPUTED_VALUE"""),5.0)</f>
        <v>5</v>
      </c>
      <c r="R24" s="4">
        <f>IFERROR(__xludf.DUMMYFUNCTION("""COMPUTED_VALUE"""),5.0)</f>
        <v>5</v>
      </c>
      <c r="S24" s="4"/>
      <c r="T24" s="6">
        <f>IFERROR(__xludf.DUMMYFUNCTION("""COMPUTED_VALUE"""),2.3)</f>
        <v>2.3</v>
      </c>
      <c r="U24" s="7">
        <f>IFERROR(__xludf.DUMMYFUNCTION("""COMPUTED_VALUE"""),0.7666666666666666)</f>
        <v>0.7666666667</v>
      </c>
      <c r="V24" s="4"/>
      <c r="W24" s="4"/>
      <c r="X24" s="4"/>
    </row>
    <row r="25">
      <c r="A25" s="4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IFERROR(__xludf.DUMMYFUNCTION("""COMPUTED_VALUE"""),1.4)</f>
        <v>1.4</v>
      </c>
      <c r="F25" s="4"/>
      <c r="G25" s="4">
        <f>IFERROR(__xludf.DUMMYFUNCTION("""COMPUTED_VALUE"""),4.7)</f>
        <v>4.7</v>
      </c>
      <c r="H25" s="4">
        <f>IFERROR(__xludf.DUMMYFUNCTION("""COMPUTED_VALUE"""),2.0)</f>
        <v>2</v>
      </c>
      <c r="I25" s="4">
        <f>IFERROR(__xludf.DUMMYFUNCTION("""COMPUTED_VALUE"""),5.0)</f>
        <v>5</v>
      </c>
      <c r="J25" s="4">
        <f>IFERROR(__xludf.DUMMYFUNCTION("""COMPUTED_VALUE"""),5.0)</f>
        <v>5</v>
      </c>
      <c r="K25" s="4">
        <f>IFERROR(__xludf.DUMMYFUNCTION("""COMPUTED_VALUE"""),0.0)</f>
        <v>0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>
        <f>IFERROR(__xludf.DUMMYFUNCTION("""COMPUTED_VALUE"""),3.0)</f>
        <v>3</v>
      </c>
      <c r="P25" s="4">
        <f>IFERROR(__xludf.DUMMYFUNCTION("""COMPUTED_VALUE"""),5.0)</f>
        <v>5</v>
      </c>
      <c r="Q25" s="4">
        <f>IFERROR(__xludf.DUMMYFUNCTION("""COMPUTED_VALUE"""),5.0)</f>
        <v>5</v>
      </c>
      <c r="R25" s="4">
        <f>IFERROR(__xludf.DUMMYFUNCTION("""COMPUTED_VALUE"""),5.0)</f>
        <v>5</v>
      </c>
      <c r="S25" s="4"/>
      <c r="T25" s="6">
        <f>IFERROR(__xludf.DUMMYFUNCTION("""COMPUTED_VALUE"""),3.055)</f>
        <v>3.055</v>
      </c>
      <c r="U25" s="7">
        <f>IFERROR(__xludf.DUMMYFUNCTION("""COMPUTED_VALUE"""),1.0183333333333333)</f>
        <v>1.018333333</v>
      </c>
      <c r="V25" s="4"/>
      <c r="W25" s="4"/>
      <c r="X25" s="4"/>
    </row>
    <row r="26">
      <c r="A26" s="4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4">
        <f>IFERROR(__xludf.DUMMYFUNCTION("""COMPUTED_VALUE"""),5.0)</f>
        <v>5</v>
      </c>
      <c r="D26" s="4">
        <f>IFERROR(__xludf.DUMMYFUNCTION("""COMPUTED_VALUE"""),3.4)</f>
        <v>3.4</v>
      </c>
      <c r="E26" s="4">
        <f>IFERROR(__xludf.DUMMYFUNCTION("""COMPUTED_VALUE"""),1.4)</f>
        <v>1.4</v>
      </c>
      <c r="F26" s="4"/>
      <c r="G26" s="4">
        <f>IFERROR(__xludf.DUMMYFUNCTION("""COMPUTED_VALUE"""),3.9)</f>
        <v>3.9</v>
      </c>
      <c r="H26" s="4">
        <f>IFERROR(__xludf.DUMMYFUNCTION("""COMPUTED_VALUE"""),1.5)</f>
        <v>1.5</v>
      </c>
      <c r="I26" s="4">
        <f>IFERROR(__xludf.DUMMYFUNCTION("""COMPUTED_VALUE"""),3.4)</f>
        <v>3.4</v>
      </c>
      <c r="J26" s="4">
        <f>IFERROR(__xludf.DUMMYFUNCTION("""COMPUTED_VALUE"""),0.0)</f>
        <v>0</v>
      </c>
      <c r="K26" s="4">
        <f>IFERROR(__xludf.DUMMYFUNCTION("""COMPUTED_VALUE"""),3.0)</f>
        <v>3</v>
      </c>
      <c r="L26" s="4">
        <f>IFERROR(__xludf.DUMMYFUNCTION("""COMPUTED_VALUE"""),2.7)</f>
        <v>2.7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>
        <f>IFERROR(__xludf.DUMMYFUNCTION("""COMPUTED_VALUE"""),3.0)</f>
        <v>3</v>
      </c>
      <c r="P26" s="4">
        <f>IFERROR(__xludf.DUMMYFUNCTION("""COMPUTED_VALUE"""),5.0)</f>
        <v>5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4"/>
      <c r="T26" s="6">
        <f>IFERROR(__xludf.DUMMYFUNCTION("""COMPUTED_VALUE"""),2.615)</f>
        <v>2.615</v>
      </c>
      <c r="U26" s="7">
        <f>IFERROR(__xludf.DUMMYFUNCTION("""COMPUTED_VALUE"""),0.8716666666666667)</f>
        <v>0.8716666667</v>
      </c>
      <c r="V26" s="4"/>
      <c r="W26" s="4"/>
      <c r="X26" s="4"/>
    </row>
    <row r="27">
      <c r="A27" s="4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4">
        <f>IFERROR(__xludf.DUMMYFUNCTION("""COMPUTED_VALUE"""),2.2)</f>
        <v>2.2</v>
      </c>
      <c r="D27" s="4">
        <f>IFERROR(__xludf.DUMMYFUNCTION("""COMPUTED_VALUE"""),4.0)</f>
        <v>4</v>
      </c>
      <c r="E27" s="4">
        <f>IFERROR(__xludf.DUMMYFUNCTION("""COMPUTED_VALUE"""),2.5)</f>
        <v>2.5</v>
      </c>
      <c r="F27" s="4"/>
      <c r="G27" s="4">
        <f>IFERROR(__xludf.DUMMYFUNCTION("""COMPUTED_VALUE"""),4.4)</f>
        <v>4.4</v>
      </c>
      <c r="H27" s="4">
        <f>IFERROR(__xludf.DUMMYFUNCTION("""COMPUTED_VALUE"""),2.0)</f>
        <v>2</v>
      </c>
      <c r="I27" s="4">
        <f>IFERROR(__xludf.DUMMYFUNCTION("""COMPUTED_VALUE"""),0.0)</f>
        <v>0</v>
      </c>
      <c r="J27" s="4">
        <f>IFERROR(__xludf.DUMMYFUNCTION("""COMPUTED_VALUE"""),5.0)</f>
        <v>5</v>
      </c>
      <c r="K27" s="4">
        <f>IFERROR(__xludf.DUMMYFUNCTION("""COMPUTED_VALUE"""),0.0)</f>
        <v>0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>
        <f>IFERROR(__xludf.DUMMYFUNCTION("""COMPUTED_VALUE"""),5.0)</f>
        <v>5</v>
      </c>
      <c r="P27" s="4">
        <f>IFERROR(__xludf.DUMMYFUNCTION("""COMPUTED_VALUE"""),4.0)</f>
        <v>4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4"/>
      <c r="T27" s="6">
        <f>IFERROR(__xludf.DUMMYFUNCTION("""COMPUTED_VALUE"""),2.5250000000000004)</f>
        <v>2.525</v>
      </c>
      <c r="U27" s="7">
        <f>IFERROR(__xludf.DUMMYFUNCTION("""COMPUTED_VALUE"""),0.8416666666666668)</f>
        <v>0.8416666667</v>
      </c>
      <c r="V27" s="4"/>
      <c r="W27" s="4"/>
      <c r="X27" s="4"/>
    </row>
    <row r="28">
      <c r="A28" s="4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4">
        <f>IFERROR(__xludf.DUMMYFUNCTION("""COMPUTED_VALUE"""),1.7)</f>
        <v>1.7</v>
      </c>
      <c r="D28" s="4">
        <f>IFERROR(__xludf.DUMMYFUNCTION("""COMPUTED_VALUE"""),2.9)</f>
        <v>2.9</v>
      </c>
      <c r="E28" s="4">
        <f>IFERROR(__xludf.DUMMYFUNCTION("""COMPUTED_VALUE"""),1.5)</f>
        <v>1.5</v>
      </c>
      <c r="F28" s="4"/>
      <c r="G28" s="4">
        <f>IFERROR(__xludf.DUMMYFUNCTION("""COMPUTED_VALUE"""),5.0)</f>
        <v>5</v>
      </c>
      <c r="H28" s="4">
        <f>IFERROR(__xludf.DUMMYFUNCTION("""COMPUTED_VALUE"""),2.0)</f>
        <v>2</v>
      </c>
      <c r="I28" s="4">
        <f>IFERROR(__xludf.DUMMYFUNCTION("""COMPUTED_VALUE"""),3.4)</f>
        <v>3.4</v>
      </c>
      <c r="J28" s="4">
        <f>IFERROR(__xludf.DUMMYFUNCTION("""COMPUTED_VALUE"""),5.0)</f>
        <v>5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>
        <f>IFERROR(__xludf.DUMMYFUNCTION("""COMPUTED_VALUE"""),5.0)</f>
        <v>5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4"/>
      <c r="T28" s="6">
        <f>IFERROR(__xludf.DUMMYFUNCTION("""COMPUTED_VALUE"""),2.045)</f>
        <v>2.045</v>
      </c>
      <c r="U28" s="7">
        <f>IFERROR(__xludf.DUMMYFUNCTION("""COMPUTED_VALUE"""),0.6816666666666666)</f>
        <v>0.6816666667</v>
      </c>
      <c r="V28" s="4"/>
      <c r="W28" s="4"/>
      <c r="X28" s="4"/>
    </row>
    <row r="29">
      <c r="A29" s="4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4">
        <f>IFERROR(__xludf.DUMMYFUNCTION("""COMPUTED_VALUE"""),2.6)</f>
        <v>2.6</v>
      </c>
      <c r="D29" s="4">
        <f>IFERROR(__xludf.DUMMYFUNCTION("""COMPUTED_VALUE"""),5.0)</f>
        <v>5</v>
      </c>
      <c r="E29" s="4">
        <f>IFERROR(__xludf.DUMMYFUNCTION("""COMPUTED_VALUE"""),2.0)</f>
        <v>2</v>
      </c>
      <c r="F29" s="4"/>
      <c r="G29" s="4">
        <f>IFERROR(__xludf.DUMMYFUNCTION("""COMPUTED_VALUE"""),4.8)</f>
        <v>4.8</v>
      </c>
      <c r="H29" s="4">
        <f>IFERROR(__xludf.DUMMYFUNCTION("""COMPUTED_VALUE"""),2.0)</f>
        <v>2</v>
      </c>
      <c r="I29" s="4">
        <f>IFERROR(__xludf.DUMMYFUNCTION("""COMPUTED_VALUE"""),5.0)</f>
        <v>5</v>
      </c>
      <c r="J29" s="4">
        <f>IFERROR(__xludf.DUMMYFUNCTION("""COMPUTED_VALUE"""),4.4)</f>
        <v>4.4</v>
      </c>
      <c r="K29" s="4">
        <f>IFERROR(__xludf.DUMMYFUNCTION("""COMPUTED_VALUE"""),0.0)</f>
        <v>0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>
        <f>IFERROR(__xludf.DUMMYFUNCTION("""COMPUTED_VALUE"""),4.0)</f>
        <v>4</v>
      </c>
      <c r="P29" s="4">
        <f>IFERROR(__xludf.DUMMYFUNCTION("""COMPUTED_VALUE"""),5.0)</f>
        <v>5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4"/>
      <c r="T29" s="6">
        <f>IFERROR(__xludf.DUMMYFUNCTION("""COMPUTED_VALUE"""),2.74)</f>
        <v>2.74</v>
      </c>
      <c r="U29" s="7">
        <f>IFERROR(__xludf.DUMMYFUNCTION("""COMPUTED_VALUE"""),0.9133333333333334)</f>
        <v>0.9133333333</v>
      </c>
      <c r="V29" s="4"/>
      <c r="W29" s="4"/>
      <c r="X29" s="4"/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4">
        <f>IFERROR(__xludf.DUMMYFUNCTION("""COMPUTED_VALUE"""),4.5)</f>
        <v>4.5</v>
      </c>
      <c r="D2" s="4">
        <f>IFERROR(__xludf.DUMMYFUNCTION("""COMPUTED_VALUE"""),4.0)</f>
        <v>4</v>
      </c>
      <c r="E2" s="4">
        <f>IFERROR(__xludf.DUMMYFUNCTION("""COMPUTED_VALUE"""),4.0)</f>
        <v>4</v>
      </c>
      <c r="F2" s="4"/>
      <c r="G2" s="4">
        <f>IFERROR(__xludf.DUMMYFUNCTION("""COMPUTED_VALUE"""),4.6)</f>
        <v>4.6</v>
      </c>
      <c r="H2" s="4"/>
      <c r="I2" s="4">
        <f>IFERROR(__xludf.DUMMYFUNCTION("""COMPUTED_VALUE"""),2.3)</f>
        <v>2.3</v>
      </c>
      <c r="J2" s="4">
        <f>IFERROR(__xludf.DUMMYFUNCTION("""COMPUTED_VALUE"""),3.0)</f>
        <v>3</v>
      </c>
      <c r="K2" s="4">
        <f>IFERROR(__xludf.DUMMYFUNCTION("""COMPUTED_VALUE"""),4.6)</f>
        <v>4.6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>
        <f>IFERROR(__xludf.DUMMYFUNCTION("""COMPUTED_VALUE"""),5.0)</f>
        <v>5</v>
      </c>
      <c r="Q2" s="4"/>
      <c r="R2" s="4"/>
      <c r="S2" s="6">
        <f>IFERROR(__xludf.DUMMYFUNCTION("""COMPUTED_VALUE"""),3.395)</f>
        <v>3.395</v>
      </c>
      <c r="T2" s="9">
        <f>IFERROR(__xludf.DUMMYFUNCTION("""COMPUTED_VALUE"""),1.1316666666666666)</f>
        <v>1.131666667</v>
      </c>
      <c r="U2" s="4"/>
      <c r="V2" s="4"/>
      <c r="W2" s="4">
        <f>IFERROR(__xludf.DUMMYFUNCTION("""COMPUTED_VALUE"""),4.6)</f>
        <v>4.6</v>
      </c>
      <c r="X2" s="4"/>
      <c r="Y2" s="4">
        <f>IFERROR(__xludf.DUMMYFUNCTION("""COMPUTED_VALUE"""),2260342.0)</f>
        <v>2260342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4">
        <f>IFERROR(__xludf.DUMMYFUNCTION("""COMPUTED_VALUE"""),5.0)</f>
        <v>5</v>
      </c>
      <c r="D3" s="4">
        <f>IFERROR(__xludf.DUMMYFUNCTION("""COMPUTED_VALUE"""),5.0)</f>
        <v>5</v>
      </c>
      <c r="E3" s="4">
        <f>IFERROR(__xludf.DUMMYFUNCTION("""COMPUTED_VALUE"""),5.0)</f>
        <v>5</v>
      </c>
      <c r="F3" s="4"/>
      <c r="G3" s="4">
        <f>IFERROR(__xludf.DUMMYFUNCTION("""COMPUTED_VALUE"""),4.9)</f>
        <v>4.9</v>
      </c>
      <c r="H3" s="4"/>
      <c r="I3" s="4">
        <f>IFERROR(__xludf.DUMMYFUNCTION("""COMPUTED_VALUE"""),2.5)</f>
        <v>2.5</v>
      </c>
      <c r="J3" s="4">
        <f>IFERROR(__xludf.DUMMYFUNCTION("""COMPUTED_VALUE"""),5.0)</f>
        <v>5</v>
      </c>
      <c r="K3" s="4">
        <f>IFERROR(__xludf.DUMMYFUNCTION("""COMPUTED_VALUE"""),4.2)</f>
        <v>4.2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>
        <f>IFERROR(__xludf.DUMMYFUNCTION("""COMPUTED_VALUE"""),5.0)</f>
        <v>5</v>
      </c>
      <c r="Q3" s="4"/>
      <c r="R3" s="4"/>
      <c r="S3" s="6">
        <f>IFERROR(__xludf.DUMMYFUNCTION("""COMPUTED_VALUE"""),3.98)</f>
        <v>3.98</v>
      </c>
      <c r="T3" s="9">
        <f>IFERROR(__xludf.DUMMYFUNCTION("""COMPUTED_VALUE"""),1.3266666666666667)</f>
        <v>1.326666667</v>
      </c>
      <c r="U3" s="4"/>
      <c r="V3" s="4"/>
      <c r="W3" s="4">
        <f>IFERROR(__xludf.DUMMYFUNCTION("""COMPUTED_VALUE"""),4.9)</f>
        <v>4.9</v>
      </c>
      <c r="X3" s="4"/>
      <c r="Y3" s="4">
        <f>IFERROR(__xludf.DUMMYFUNCTION("""COMPUTED_VALUE"""),2260347.0)</f>
        <v>2260347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4">
        <f>IFERROR(__xludf.DUMMYFUNCTION("""COMPUTED_VALUE"""),5.0)</f>
        <v>5</v>
      </c>
      <c r="D4" s="4">
        <f>IFERROR(__xludf.DUMMYFUNCTION("""COMPUTED_VALUE"""),5.0)</f>
        <v>5</v>
      </c>
      <c r="E4" s="4">
        <f>IFERROR(__xludf.DUMMYFUNCTION("""COMPUTED_VALUE"""),5.0)</f>
        <v>5</v>
      </c>
      <c r="F4" s="4"/>
      <c r="G4" s="4">
        <f>IFERROR(__xludf.DUMMYFUNCTION("""COMPUTED_VALUE"""),4.9)</f>
        <v>4.9</v>
      </c>
      <c r="H4" s="4"/>
      <c r="I4" s="4">
        <f>IFERROR(__xludf.DUMMYFUNCTION("""COMPUTED_VALUE"""),2.5)</f>
        <v>2.5</v>
      </c>
      <c r="J4" s="4">
        <f>IFERROR(__xludf.DUMMYFUNCTION("""COMPUTED_VALUE"""),5.0)</f>
        <v>5</v>
      </c>
      <c r="K4" s="4">
        <f>IFERROR(__xludf.DUMMYFUNCTION("""COMPUTED_VALUE"""),4.2)</f>
        <v>4.2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>
        <f>IFERROR(__xludf.DUMMYFUNCTION("""COMPUTED_VALUE"""),5.0)</f>
        <v>5</v>
      </c>
      <c r="Q4" s="4"/>
      <c r="R4" s="4"/>
      <c r="S4" s="6">
        <f>IFERROR(__xludf.DUMMYFUNCTION("""COMPUTED_VALUE"""),3.98)</f>
        <v>3.98</v>
      </c>
      <c r="T4" s="9">
        <f>IFERROR(__xludf.DUMMYFUNCTION("""COMPUTED_VALUE"""),1.3266666666666667)</f>
        <v>1.326666667</v>
      </c>
      <c r="U4" s="4"/>
      <c r="V4" s="4"/>
      <c r="W4" s="4">
        <f>IFERROR(__xludf.DUMMYFUNCTION("""COMPUTED_VALUE"""),4.9)</f>
        <v>4.9</v>
      </c>
      <c r="X4" s="4"/>
      <c r="Y4" s="4">
        <f>IFERROR(__xludf.DUMMYFUNCTION("""COMPUTED_VALUE"""),2260368.0)</f>
        <v>2260368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4">
        <f>IFERROR(__xludf.DUMMYFUNCTION("""COMPUTED_VALUE"""),4.5)</f>
        <v>4.5</v>
      </c>
      <c r="D5" s="4">
        <f>IFERROR(__xludf.DUMMYFUNCTION("""COMPUTED_VALUE"""),2.4)</f>
        <v>2.4</v>
      </c>
      <c r="E5" s="4">
        <f>IFERROR(__xludf.DUMMYFUNCTION("""COMPUTED_VALUE"""),3.9)</f>
        <v>3.9</v>
      </c>
      <c r="F5" s="4"/>
      <c r="G5" s="4">
        <f>IFERROR(__xludf.DUMMYFUNCTION("""COMPUTED_VALUE"""),2.0)</f>
        <v>2</v>
      </c>
      <c r="H5" s="4"/>
      <c r="I5" s="4">
        <f>IFERROR(__xludf.DUMMYFUNCTION("""COMPUTED_VALUE"""),1.0)</f>
        <v>1</v>
      </c>
      <c r="J5" s="4">
        <f>IFERROR(__xludf.DUMMYFUNCTION("""COMPUTED_VALUE"""),3.5)</f>
        <v>3.5</v>
      </c>
      <c r="K5" s="4">
        <f>IFERROR(__xludf.DUMMYFUNCTION("""COMPUTED_VALUE"""),3.5)</f>
        <v>3.5</v>
      </c>
      <c r="L5" s="4">
        <f>IFERROR(__xludf.DUMMYFUNCTION("""COMPUTED_VALUE"""),0.0)</f>
        <v>0</v>
      </c>
      <c r="M5" s="4">
        <f>IFERROR(__xludf.DUMMYFUNCTION("""COMPUTED_VALUE"""),0.0)</f>
        <v>0</v>
      </c>
      <c r="N5" s="4">
        <f>IFERROR(__xludf.DUMMYFUNCTION("""COMPUTED_VALUE"""),0.0)</f>
        <v>0</v>
      </c>
      <c r="O5" s="4"/>
      <c r="P5" s="4">
        <f>IFERROR(__xludf.DUMMYFUNCTION("""COMPUTED_VALUE"""),5.0)</f>
        <v>5</v>
      </c>
      <c r="Q5" s="4"/>
      <c r="R5" s="4"/>
      <c r="S5" s="6">
        <f>IFERROR(__xludf.DUMMYFUNCTION("""COMPUTED_VALUE"""),2.455)</f>
        <v>2.455</v>
      </c>
      <c r="T5" s="9">
        <f>IFERROR(__xludf.DUMMYFUNCTION("""COMPUTED_VALUE"""),0.8183333333333334)</f>
        <v>0.8183333333</v>
      </c>
      <c r="U5" s="4"/>
      <c r="V5" s="4"/>
      <c r="W5" s="4">
        <f>IFERROR(__xludf.DUMMYFUNCTION("""COMPUTED_VALUE"""),2.0)</f>
        <v>2</v>
      </c>
      <c r="X5" s="4"/>
      <c r="Y5" s="4">
        <f>IFERROR(__xludf.DUMMYFUNCTION("""COMPUTED_VALUE"""),2260355.0)</f>
        <v>2260355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4">
        <f>IFERROR(__xludf.DUMMYFUNCTION("""COMPUTED_VALUE"""),4.5)</f>
        <v>4.5</v>
      </c>
      <c r="D6" s="4">
        <f>IFERROR(__xludf.DUMMYFUNCTION("""COMPUTED_VALUE"""),3.5)</f>
        <v>3.5</v>
      </c>
      <c r="E6" s="4">
        <f>IFERROR(__xludf.DUMMYFUNCTION("""COMPUTED_VALUE"""),4.2)</f>
        <v>4.2</v>
      </c>
      <c r="F6" s="4"/>
      <c r="G6" s="4">
        <f>IFERROR(__xludf.DUMMYFUNCTION("""COMPUTED_VALUE"""),2.3)</f>
        <v>2.3</v>
      </c>
      <c r="H6" s="4"/>
      <c r="I6" s="4">
        <f>IFERROR(__xludf.DUMMYFUNCTION("""COMPUTED_VALUE"""),1.2)</f>
        <v>1.2</v>
      </c>
      <c r="J6" s="4">
        <f>IFERROR(__xludf.DUMMYFUNCTION("""COMPUTED_VALUE"""),5.0)</f>
        <v>5</v>
      </c>
      <c r="K6" s="4">
        <f>IFERROR(__xludf.DUMMYFUNCTION("""COMPUTED_VALUE"""),3.5)</f>
        <v>3.5</v>
      </c>
      <c r="L6" s="4">
        <f>IFERROR(__xludf.DUMMYFUNCTION("""COMPUTED_VALUE"""),0.0)</f>
        <v>0</v>
      </c>
      <c r="M6" s="4">
        <f>IFERROR(__xludf.DUMMYFUNCTION("""COMPUTED_VALUE"""),0.0)</f>
        <v>0</v>
      </c>
      <c r="N6" s="4">
        <f>IFERROR(__xludf.DUMMYFUNCTION("""COMPUTED_VALUE"""),0.0)</f>
        <v>0</v>
      </c>
      <c r="O6" s="4"/>
      <c r="P6" s="4">
        <f>IFERROR(__xludf.DUMMYFUNCTION("""COMPUTED_VALUE"""),5.0)</f>
        <v>5</v>
      </c>
      <c r="Q6" s="4"/>
      <c r="R6" s="4"/>
      <c r="S6" s="6">
        <f>IFERROR(__xludf.DUMMYFUNCTION("""COMPUTED_VALUE"""),2.85)</f>
        <v>2.85</v>
      </c>
      <c r="T6" s="9">
        <f>IFERROR(__xludf.DUMMYFUNCTION("""COMPUTED_VALUE"""),0.9500000000000001)</f>
        <v>0.95</v>
      </c>
      <c r="U6" s="4"/>
      <c r="V6" s="4"/>
      <c r="W6" s="4">
        <f>IFERROR(__xludf.DUMMYFUNCTION("""COMPUTED_VALUE"""),2.3)</f>
        <v>2.3</v>
      </c>
      <c r="X6" s="4"/>
      <c r="Y6" s="4">
        <f>IFERROR(__xludf.DUMMYFUNCTION("""COMPUTED_VALUE"""),2260338.0)</f>
        <v>2260338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4">
        <f>IFERROR(__xludf.DUMMYFUNCTION("""COMPUTED_VALUE"""),5.0)</f>
        <v>5</v>
      </c>
      <c r="D7" s="4">
        <f>IFERROR(__xludf.DUMMYFUNCTION("""COMPUTED_VALUE"""),4.5)</f>
        <v>4.5</v>
      </c>
      <c r="E7" s="4">
        <f>IFERROR(__xludf.DUMMYFUNCTION("""COMPUTED_VALUE"""),5.0)</f>
        <v>5</v>
      </c>
      <c r="F7" s="4"/>
      <c r="G7" s="4">
        <f>IFERROR(__xludf.DUMMYFUNCTION("""COMPUTED_VALUE"""),5.0)</f>
        <v>5</v>
      </c>
      <c r="H7" s="4"/>
      <c r="I7" s="4">
        <f>IFERROR(__xludf.DUMMYFUNCTION("""COMPUTED_VALUE"""),2.5)</f>
        <v>2.5</v>
      </c>
      <c r="J7" s="4">
        <f>IFERROR(__xludf.DUMMYFUNCTION("""COMPUTED_VALUE"""),5.0)</f>
        <v>5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/>
      <c r="P7" s="4">
        <f>IFERROR(__xludf.DUMMYFUNCTION("""COMPUTED_VALUE"""),5.0)</f>
        <v>5</v>
      </c>
      <c r="Q7" s="4"/>
      <c r="R7" s="4"/>
      <c r="S7" s="6">
        <f>IFERROR(__xludf.DUMMYFUNCTION("""COMPUTED_VALUE"""),3.875)</f>
        <v>3.875</v>
      </c>
      <c r="T7" s="9">
        <f>IFERROR(__xludf.DUMMYFUNCTION("""COMPUTED_VALUE"""),1.2916666666666667)</f>
        <v>1.291666667</v>
      </c>
      <c r="U7" s="4"/>
      <c r="V7" s="4"/>
      <c r="W7" s="4">
        <f>IFERROR(__xludf.DUMMYFUNCTION("""COMPUTED_VALUE"""),5.0)</f>
        <v>5</v>
      </c>
      <c r="X7" s="4"/>
      <c r="Y7" s="4">
        <f>IFERROR(__xludf.DUMMYFUNCTION("""COMPUTED_VALUE"""),2260354.0)</f>
        <v>2260354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4">
        <f>IFERROR(__xludf.DUMMYFUNCTION("""COMPUTED_VALUE"""),5.0)</f>
        <v>5</v>
      </c>
      <c r="D8" s="4">
        <f>IFERROR(__xludf.DUMMYFUNCTION("""COMPUTED_VALUE"""),3.5)</f>
        <v>3.5</v>
      </c>
      <c r="E8" s="4">
        <f>IFERROR(__xludf.DUMMYFUNCTION("""COMPUTED_VALUE"""),5.0)</f>
        <v>5</v>
      </c>
      <c r="F8" s="4"/>
      <c r="G8" s="4">
        <f>IFERROR(__xludf.DUMMYFUNCTION("""COMPUTED_VALUE"""),4.2)</f>
        <v>4.2</v>
      </c>
      <c r="H8" s="4"/>
      <c r="I8" s="4">
        <f>IFERROR(__xludf.DUMMYFUNCTION("""COMPUTED_VALUE"""),2.1)</f>
        <v>2.1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>
        <f>IFERROR(__xludf.DUMMYFUNCTION("""COMPUTED_VALUE"""),0.0)</f>
        <v>0</v>
      </c>
      <c r="Q8" s="4"/>
      <c r="R8" s="4"/>
      <c r="S8" s="6">
        <f>IFERROR(__xludf.DUMMYFUNCTION("""COMPUTED_VALUE"""),3.465)</f>
        <v>3.465</v>
      </c>
      <c r="T8" s="9">
        <f>IFERROR(__xludf.DUMMYFUNCTION("""COMPUTED_VALUE"""),1.155)</f>
        <v>1.155</v>
      </c>
      <c r="U8" s="4"/>
      <c r="V8" s="4"/>
      <c r="W8" s="4">
        <f>IFERROR(__xludf.DUMMYFUNCTION("""COMPUTED_VALUE"""),4.2)</f>
        <v>4.2</v>
      </c>
      <c r="X8" s="4"/>
      <c r="Y8" s="4">
        <f>IFERROR(__xludf.DUMMYFUNCTION("""COMPUTED_VALUE"""),2260370.0)</f>
        <v>2260370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4">
        <f>IFERROR(__xludf.DUMMYFUNCTION("""COMPUTED_VALUE"""),4.5)</f>
        <v>4.5</v>
      </c>
      <c r="D9" s="4">
        <f>IFERROR(__xludf.DUMMYFUNCTION("""COMPUTED_VALUE"""),4.5)</f>
        <v>4.5</v>
      </c>
      <c r="E9" s="4">
        <f>IFERROR(__xludf.DUMMYFUNCTION("""COMPUTED_VALUE"""),3.5)</f>
        <v>3.5</v>
      </c>
      <c r="F9" s="4"/>
      <c r="G9" s="4">
        <f>IFERROR(__xludf.DUMMYFUNCTION("""COMPUTED_VALUE"""),4.8)</f>
        <v>4.8</v>
      </c>
      <c r="H9" s="4"/>
      <c r="I9" s="4">
        <f>IFERROR(__xludf.DUMMYFUNCTION("""COMPUTED_VALUE"""),2.4)</f>
        <v>2.4</v>
      </c>
      <c r="J9" s="4">
        <f>IFERROR(__xludf.DUMMYFUNCTION("""COMPUTED_VALUE"""),3.5)</f>
        <v>3.5</v>
      </c>
      <c r="K9" s="4">
        <f>IFERROR(__xludf.DUMMYFUNCTION("""COMPUTED_VALUE"""),5.0)</f>
        <v>5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/>
      <c r="P9" s="4">
        <f>IFERROR(__xludf.DUMMYFUNCTION("""COMPUTED_VALUE"""),5.0)</f>
        <v>5</v>
      </c>
      <c r="Q9" s="4"/>
      <c r="R9" s="4"/>
      <c r="S9" s="6">
        <f>IFERROR(__xludf.DUMMYFUNCTION("""COMPUTED_VALUE"""),3.46)</f>
        <v>3.46</v>
      </c>
      <c r="T9" s="9">
        <f>IFERROR(__xludf.DUMMYFUNCTION("""COMPUTED_VALUE"""),1.1533333333333333)</f>
        <v>1.153333333</v>
      </c>
      <c r="U9" s="4"/>
      <c r="V9" s="4"/>
      <c r="W9" s="4">
        <f>IFERROR(__xludf.DUMMYFUNCTION("""COMPUTED_VALUE"""),4.8)</f>
        <v>4.8</v>
      </c>
      <c r="X9" s="4"/>
      <c r="Y9" s="4">
        <f>IFERROR(__xludf.DUMMYFUNCTION("""COMPUTED_VALUE"""),2260346.0)</f>
        <v>2260346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4">
        <f>IFERROR(__xludf.DUMMYFUNCTION("""COMPUTED_VALUE"""),5.0)</f>
        <v>5</v>
      </c>
      <c r="D10" s="4">
        <f>IFERROR(__xludf.DUMMYFUNCTION("""COMPUTED_VALUE"""),5.0)</f>
        <v>5</v>
      </c>
      <c r="E10" s="4">
        <f>IFERROR(__xludf.DUMMYFUNCTION("""COMPUTED_VALUE"""),5.0)</f>
        <v>5</v>
      </c>
      <c r="F10" s="4"/>
      <c r="G10" s="4">
        <f>IFERROR(__xludf.DUMMYFUNCTION("""COMPUTED_VALUE"""),4.5)</f>
        <v>4.5</v>
      </c>
      <c r="H10" s="4"/>
      <c r="I10" s="4">
        <f>IFERROR(__xludf.DUMMYFUNCTION("""COMPUTED_VALUE"""),2.3)</f>
        <v>2.3</v>
      </c>
      <c r="J10" s="4">
        <f>IFERROR(__xludf.DUMMYFUNCTION("""COMPUTED_VALUE"""),2.0)</f>
        <v>2</v>
      </c>
      <c r="K10" s="4">
        <f>IFERROR(__xludf.DUMMYFUNCTION("""COMPUTED_VALUE"""),5.0)</f>
        <v>5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>
        <f>IFERROR(__xludf.DUMMYFUNCTION("""COMPUTED_VALUE"""),5.0)</f>
        <v>5</v>
      </c>
      <c r="Q10" s="4"/>
      <c r="R10" s="4"/>
      <c r="S10" s="6">
        <f>IFERROR(__xludf.DUMMYFUNCTION("""COMPUTED_VALUE"""),3.9)</f>
        <v>3.9</v>
      </c>
      <c r="T10" s="9">
        <f>IFERROR(__xludf.DUMMYFUNCTION("""COMPUTED_VALUE"""),1.3)</f>
        <v>1.3</v>
      </c>
      <c r="U10" s="4"/>
      <c r="V10" s="4"/>
      <c r="W10" s="4">
        <f>IFERROR(__xludf.DUMMYFUNCTION("""COMPUTED_VALUE"""),4.5)</f>
        <v>4.5</v>
      </c>
      <c r="X10" s="4"/>
      <c r="Y10" s="4">
        <f>IFERROR(__xludf.DUMMYFUNCTION("""COMPUTED_VALUE"""),2260341.0)</f>
        <v>2260341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4">
        <f>IFERROR(__xludf.DUMMYFUNCTION("""COMPUTED_VALUE"""),5.0)</f>
        <v>5</v>
      </c>
      <c r="D11" s="4">
        <f>IFERROR(__xludf.DUMMYFUNCTION("""COMPUTED_VALUE"""),4.0)</f>
        <v>4</v>
      </c>
      <c r="E11" s="4">
        <f>IFERROR(__xludf.DUMMYFUNCTION("""COMPUTED_VALUE"""),5.0)</f>
        <v>5</v>
      </c>
      <c r="F11" s="4"/>
      <c r="G11" s="4">
        <f>IFERROR(__xludf.DUMMYFUNCTION("""COMPUTED_VALUE"""),4.8)</f>
        <v>4.8</v>
      </c>
      <c r="H11" s="4"/>
      <c r="I11" s="4">
        <f>IFERROR(__xludf.DUMMYFUNCTION("""COMPUTED_VALUE"""),2.4)</f>
        <v>2.4</v>
      </c>
      <c r="J11" s="4">
        <f>IFERROR(__xludf.DUMMYFUNCTION("""COMPUTED_VALUE"""),4.5)</f>
        <v>4.5</v>
      </c>
      <c r="K11" s="4">
        <f>IFERROR(__xludf.DUMMYFUNCTION("""COMPUTED_VALUE"""),4.2)</f>
        <v>4.2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>
        <f>IFERROR(__xludf.DUMMYFUNCTION("""COMPUTED_VALUE"""),5.0)</f>
        <v>5</v>
      </c>
      <c r="Q11" s="4"/>
      <c r="R11" s="4"/>
      <c r="S11" s="6">
        <f>IFERROR(__xludf.DUMMYFUNCTION("""COMPUTED_VALUE"""),3.71)</f>
        <v>3.71</v>
      </c>
      <c r="T11" s="9">
        <f>IFERROR(__xludf.DUMMYFUNCTION("""COMPUTED_VALUE"""),1.2366666666666666)</f>
        <v>1.236666667</v>
      </c>
      <c r="U11" s="4"/>
      <c r="V11" s="4"/>
      <c r="W11" s="4">
        <f>IFERROR(__xludf.DUMMYFUNCTION("""COMPUTED_VALUE"""),4.8)</f>
        <v>4.8</v>
      </c>
      <c r="X11" s="4"/>
      <c r="Y11" s="4">
        <f>IFERROR(__xludf.DUMMYFUNCTION("""COMPUTED_VALUE"""),2260360.0)</f>
        <v>2260360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4">
        <f>IFERROR(__xludf.DUMMYFUNCTION("""COMPUTED_VALUE"""),5.0)</f>
        <v>5</v>
      </c>
      <c r="D12" s="4">
        <f>IFERROR(__xludf.DUMMYFUNCTION("""COMPUTED_VALUE"""),4.5)</f>
        <v>4.5</v>
      </c>
      <c r="E12" s="4">
        <f>IFERROR(__xludf.DUMMYFUNCTION("""COMPUTED_VALUE"""),4.9)</f>
        <v>4.9</v>
      </c>
      <c r="F12" s="4"/>
      <c r="G12" s="4">
        <f>IFERROR(__xludf.DUMMYFUNCTION("""COMPUTED_VALUE"""),5.0)</f>
        <v>5</v>
      </c>
      <c r="H12" s="4"/>
      <c r="I12" s="4">
        <f>IFERROR(__xludf.DUMMYFUNCTION("""COMPUTED_VALUE"""),2.5)</f>
        <v>2.5</v>
      </c>
      <c r="J12" s="4">
        <f>IFERROR(__xludf.DUMMYFUNCTION("""COMPUTED_VALUE"""),5.0)</f>
        <v>5</v>
      </c>
      <c r="K12" s="4">
        <f>IFERROR(__xludf.DUMMYFUNCTION("""COMPUTED_VALUE"""),5.0)</f>
        <v>5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>
        <f>IFERROR(__xludf.DUMMYFUNCTION("""COMPUTED_VALUE"""),5.0)</f>
        <v>5</v>
      </c>
      <c r="Q12" s="4"/>
      <c r="R12" s="4"/>
      <c r="S12" s="6">
        <f>IFERROR(__xludf.DUMMYFUNCTION("""COMPUTED_VALUE"""),3.855)</f>
        <v>3.855</v>
      </c>
      <c r="T12" s="9">
        <f>IFERROR(__xludf.DUMMYFUNCTION("""COMPUTED_VALUE"""),1.285)</f>
        <v>1.285</v>
      </c>
      <c r="U12" s="4"/>
      <c r="V12" s="4"/>
      <c r="W12" s="4">
        <f>IFERROR(__xludf.DUMMYFUNCTION("""COMPUTED_VALUE"""),5.0)</f>
        <v>5</v>
      </c>
      <c r="X12" s="4"/>
      <c r="Y12" s="4">
        <f>IFERROR(__xludf.DUMMYFUNCTION("""COMPUTED_VALUE"""),2260361.0)</f>
        <v>2260361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4">
        <f>IFERROR(__xludf.DUMMYFUNCTION("""COMPUTED_VALUE"""),4.5)</f>
        <v>4.5</v>
      </c>
      <c r="D13" s="4">
        <f>IFERROR(__xludf.DUMMYFUNCTION("""COMPUTED_VALUE"""),4.5)</f>
        <v>4.5</v>
      </c>
      <c r="E13" s="4">
        <f>IFERROR(__xludf.DUMMYFUNCTION("""COMPUTED_VALUE"""),5.0)</f>
        <v>5</v>
      </c>
      <c r="F13" s="4"/>
      <c r="G13" s="4">
        <f>IFERROR(__xludf.DUMMYFUNCTION("""COMPUTED_VALUE"""),5.0)</f>
        <v>5</v>
      </c>
      <c r="H13" s="4"/>
      <c r="I13" s="4">
        <f>IFERROR(__xludf.DUMMYFUNCTION("""COMPUTED_VALUE"""),2.5)</f>
        <v>2.5</v>
      </c>
      <c r="J13" s="4">
        <f>IFERROR(__xludf.DUMMYFUNCTION("""COMPUTED_VALUE"""),5.0)</f>
        <v>5</v>
      </c>
      <c r="K13" s="4">
        <f>IFERROR(__xludf.DUMMYFUNCTION("""COMPUTED_VALUE"""),5.0)</f>
        <v>5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>
        <f>IFERROR(__xludf.DUMMYFUNCTION("""COMPUTED_VALUE"""),5.0)</f>
        <v>5</v>
      </c>
      <c r="Q13" s="4"/>
      <c r="R13" s="4"/>
      <c r="S13" s="6">
        <f>IFERROR(__xludf.DUMMYFUNCTION("""COMPUTED_VALUE"""),3.8)</f>
        <v>3.8</v>
      </c>
      <c r="T13" s="9">
        <f>IFERROR(__xludf.DUMMYFUNCTION("""COMPUTED_VALUE"""),1.2666666666666666)</f>
        <v>1.266666667</v>
      </c>
      <c r="U13" s="4"/>
      <c r="V13" s="4"/>
      <c r="W13" s="4">
        <f>IFERROR(__xludf.DUMMYFUNCTION("""COMPUTED_VALUE"""),5.0)</f>
        <v>5</v>
      </c>
      <c r="X13" s="4"/>
      <c r="Y13" s="4">
        <f>IFERROR(__xludf.DUMMYFUNCTION("""COMPUTED_VALUE"""),2260356.0)</f>
        <v>2260356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4">
        <f>IFERROR(__xludf.DUMMYFUNCTION("""COMPUTED_VALUE"""),5.0)</f>
        <v>5</v>
      </c>
      <c r="D14" s="4">
        <f>IFERROR(__xludf.DUMMYFUNCTION("""COMPUTED_VALUE"""),4.9)</f>
        <v>4.9</v>
      </c>
      <c r="E14" s="4">
        <f>IFERROR(__xludf.DUMMYFUNCTION("""COMPUTED_VALUE"""),5.0)</f>
        <v>5</v>
      </c>
      <c r="F14" s="4"/>
      <c r="G14" s="4">
        <f>IFERROR(__xludf.DUMMYFUNCTION("""COMPUTED_VALUE"""),5.0)</f>
        <v>5</v>
      </c>
      <c r="H14" s="4"/>
      <c r="I14" s="4">
        <f>IFERROR(__xludf.DUMMYFUNCTION("""COMPUTED_VALUE"""),2.5)</f>
        <v>2.5</v>
      </c>
      <c r="J14" s="4">
        <f>IFERROR(__xludf.DUMMYFUNCTION("""COMPUTED_VALUE"""),5.0)</f>
        <v>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>
        <f>IFERROR(__xludf.DUMMYFUNCTION("""COMPUTED_VALUE"""),5.0)</f>
        <v>5</v>
      </c>
      <c r="Q14" s="4"/>
      <c r="R14" s="4"/>
      <c r="S14" s="6">
        <f>IFERROR(__xludf.DUMMYFUNCTION("""COMPUTED_VALUE"""),3.975)</f>
        <v>3.975</v>
      </c>
      <c r="T14" s="9">
        <f>IFERROR(__xludf.DUMMYFUNCTION("""COMPUTED_VALUE"""),1.325)</f>
        <v>1.325</v>
      </c>
      <c r="U14" s="4"/>
      <c r="V14" s="4"/>
      <c r="W14" s="4">
        <f>IFERROR(__xludf.DUMMYFUNCTION("""COMPUTED_VALUE"""),5.0)</f>
        <v>5</v>
      </c>
      <c r="X14" s="4"/>
      <c r="Y14" s="4">
        <f>IFERROR(__xludf.DUMMYFUNCTION("""COMPUTED_VALUE"""),2260363.0)</f>
        <v>2260363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4">
        <f>IFERROR(__xludf.DUMMYFUNCTION("""COMPUTED_VALUE"""),5.0)</f>
        <v>5</v>
      </c>
      <c r="D15" s="4">
        <f>IFERROR(__xludf.DUMMYFUNCTION("""COMPUTED_VALUE"""),5.0)</f>
        <v>5</v>
      </c>
      <c r="E15" s="4">
        <f>IFERROR(__xludf.DUMMYFUNCTION("""COMPUTED_VALUE"""),4.9)</f>
        <v>4.9</v>
      </c>
      <c r="F15" s="4"/>
      <c r="G15" s="4">
        <f>IFERROR(__xludf.DUMMYFUNCTION("""COMPUTED_VALUE"""),3.3)</f>
        <v>3.3</v>
      </c>
      <c r="H15" s="4"/>
      <c r="I15" s="4">
        <f>IFERROR(__xludf.DUMMYFUNCTION("""COMPUTED_VALUE"""),1.7)</f>
        <v>1.7</v>
      </c>
      <c r="J15" s="4">
        <f>IFERROR(__xludf.DUMMYFUNCTION("""COMPUTED_VALUE"""),5.0)</f>
        <v>5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/>
      <c r="P15" s="4">
        <f>IFERROR(__xludf.DUMMYFUNCTION("""COMPUTED_VALUE"""),5.0)</f>
        <v>5</v>
      </c>
      <c r="Q15" s="4"/>
      <c r="R15" s="4"/>
      <c r="S15" s="6">
        <f>IFERROR(__xludf.DUMMYFUNCTION("""COMPUTED_VALUE"""),3.64)</f>
        <v>3.64</v>
      </c>
      <c r="T15" s="9">
        <f>IFERROR(__xludf.DUMMYFUNCTION("""COMPUTED_VALUE"""),1.2133333333333334)</f>
        <v>1.213333333</v>
      </c>
      <c r="U15" s="4"/>
      <c r="V15" s="4"/>
      <c r="W15" s="4">
        <f>IFERROR(__xludf.DUMMYFUNCTION("""COMPUTED_VALUE"""),3.3)</f>
        <v>3.3</v>
      </c>
      <c r="X15" s="4"/>
      <c r="Y15" s="4">
        <f>IFERROR(__xludf.DUMMYFUNCTION("""COMPUTED_VALUE"""),2260372.0)</f>
        <v>2260372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4">
        <f>IFERROR(__xludf.DUMMYFUNCTION("""COMPUTED_VALUE"""),3.8)</f>
        <v>3.8</v>
      </c>
      <c r="D16" s="4">
        <f>IFERROR(__xludf.DUMMYFUNCTION("""COMPUTED_VALUE"""),2.5)</f>
        <v>2.5</v>
      </c>
      <c r="E16" s="4">
        <f>IFERROR(__xludf.DUMMYFUNCTION("""COMPUTED_VALUE"""),4.9)</f>
        <v>4.9</v>
      </c>
      <c r="F16" s="4"/>
      <c r="G16" s="4">
        <f>IFERROR(__xludf.DUMMYFUNCTION("""COMPUTED_VALUE"""),3.2)</f>
        <v>3.2</v>
      </c>
      <c r="H16" s="4"/>
      <c r="I16" s="4">
        <f>IFERROR(__xludf.DUMMYFUNCTION("""COMPUTED_VALUE"""),1.6)</f>
        <v>1.6</v>
      </c>
      <c r="J16" s="4">
        <f>IFERROR(__xludf.DUMMYFUNCTION("""COMPUTED_VALUE"""),5.0)</f>
        <v>5</v>
      </c>
      <c r="K16" s="4">
        <f>IFERROR(__xludf.DUMMYFUNCTION("""COMPUTED_VALUE"""),4.2)</f>
        <v>4.2</v>
      </c>
      <c r="L16" s="4">
        <f>IFERROR(__xludf.DUMMYFUNCTION("""COMPUTED_VALUE"""),0.0)</f>
        <v>0</v>
      </c>
      <c r="M16" s="4">
        <f>IFERROR(__xludf.DUMMYFUNCTION("""COMPUTED_VALUE"""),0.0)</f>
        <v>0</v>
      </c>
      <c r="N16" s="4">
        <f>IFERROR(__xludf.DUMMYFUNCTION("""COMPUTED_VALUE"""),5.0)</f>
        <v>5</v>
      </c>
      <c r="O16" s="4"/>
      <c r="P16" s="4">
        <f>IFERROR(__xludf.DUMMYFUNCTION("""COMPUTED_VALUE"""),5.0)</f>
        <v>5</v>
      </c>
      <c r="Q16" s="4"/>
      <c r="R16" s="4"/>
      <c r="S16" s="6">
        <f>IFERROR(__xludf.DUMMYFUNCTION("""COMPUTED_VALUE"""),2.815)</f>
        <v>2.815</v>
      </c>
      <c r="T16" s="9">
        <f>IFERROR(__xludf.DUMMYFUNCTION("""COMPUTED_VALUE"""),0.9383333333333334)</f>
        <v>0.9383333333</v>
      </c>
      <c r="U16" s="4"/>
      <c r="V16" s="4"/>
      <c r="W16" s="4">
        <f>IFERROR(__xludf.DUMMYFUNCTION("""COMPUTED_VALUE"""),3.2)</f>
        <v>3.2</v>
      </c>
      <c r="X16" s="4"/>
      <c r="Y16" s="4">
        <f>IFERROR(__xludf.DUMMYFUNCTION("""COMPUTED_VALUE"""),2260340.0)</f>
        <v>2260340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IFERROR(__xludf.DUMMYFUNCTION("""COMPUTED_VALUE"""),3.3)</f>
        <v>3.3</v>
      </c>
      <c r="F17" s="4"/>
      <c r="G17" s="4">
        <f>IFERROR(__xludf.DUMMYFUNCTION("""COMPUTED_VALUE"""),4.7)</f>
        <v>4.7</v>
      </c>
      <c r="H17" s="4"/>
      <c r="I17" s="4">
        <f>IFERROR(__xludf.DUMMYFUNCTION("""COMPUTED_VALUE"""),2.4)</f>
        <v>2.4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>
        <f>IFERROR(__xludf.DUMMYFUNCTION("""COMPUTED_VALUE"""),5.0)</f>
        <v>5</v>
      </c>
      <c r="Q17" s="4"/>
      <c r="R17" s="4"/>
      <c r="S17" s="6">
        <f>IFERROR(__xludf.DUMMYFUNCTION("""COMPUTED_VALUE"""),3.15)</f>
        <v>3.15</v>
      </c>
      <c r="T17" s="9">
        <f>IFERROR(__xludf.DUMMYFUNCTION("""COMPUTED_VALUE"""),1.05)</f>
        <v>1.05</v>
      </c>
      <c r="U17" s="4"/>
      <c r="V17" s="4"/>
      <c r="W17" s="4">
        <f>IFERROR(__xludf.DUMMYFUNCTION("""COMPUTED_VALUE"""),4.7)</f>
        <v>4.7</v>
      </c>
      <c r="X17" s="4"/>
      <c r="Y17" s="4">
        <f>IFERROR(__xludf.DUMMYFUNCTION("""COMPUTED_VALUE"""),2260344.0)</f>
        <v>2260344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4">
        <f>IFERROR(__xludf.DUMMYFUNCTION("""COMPUTED_VALUE"""),5.0)</f>
        <v>5</v>
      </c>
      <c r="D18" s="4">
        <f>IFERROR(__xludf.DUMMYFUNCTION("""COMPUTED_VALUE"""),4.5)</f>
        <v>4.5</v>
      </c>
      <c r="E18" s="4">
        <f>IFERROR(__xludf.DUMMYFUNCTION("""COMPUTED_VALUE"""),5.0)</f>
        <v>5</v>
      </c>
      <c r="F18" s="4"/>
      <c r="G18" s="4">
        <f>IFERROR(__xludf.DUMMYFUNCTION("""COMPUTED_VALUE"""),4.9)</f>
        <v>4.9</v>
      </c>
      <c r="H18" s="4"/>
      <c r="I18" s="4">
        <f>IFERROR(__xludf.DUMMYFUNCTION("""COMPUTED_VALUE"""),2.5)</f>
        <v>2.5</v>
      </c>
      <c r="J18" s="4">
        <f>IFERROR(__xludf.DUMMYFUNCTION("""COMPUTED_VALUE"""),5.0)</f>
        <v>5</v>
      </c>
      <c r="K18" s="4">
        <f>IFERROR(__xludf.DUMMYFUNCTION("""COMPUTED_VALUE"""),4.2)</f>
        <v>4.2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>
        <f>IFERROR(__xludf.DUMMYFUNCTION("""COMPUTED_VALUE"""),5.0)</f>
        <v>5</v>
      </c>
      <c r="Q18" s="4"/>
      <c r="R18" s="4"/>
      <c r="S18" s="6">
        <f>IFERROR(__xludf.DUMMYFUNCTION("""COMPUTED_VALUE"""),3.855)</f>
        <v>3.855</v>
      </c>
      <c r="T18" s="9">
        <f>IFERROR(__xludf.DUMMYFUNCTION("""COMPUTED_VALUE"""),1.285)</f>
        <v>1.285</v>
      </c>
      <c r="U18" s="4"/>
      <c r="V18" s="4"/>
      <c r="W18" s="4">
        <f>IFERROR(__xludf.DUMMYFUNCTION("""COMPUTED_VALUE"""),4.9)</f>
        <v>4.9</v>
      </c>
      <c r="X18" s="4"/>
      <c r="Y18" s="4">
        <f>IFERROR(__xludf.DUMMYFUNCTION("""COMPUTED_VALUE"""),2260366.0)</f>
        <v>2260366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4">
        <f>IFERROR(__xludf.DUMMYFUNCTION("""COMPUTED_VALUE"""),5.0)</f>
        <v>5</v>
      </c>
      <c r="D19" s="4">
        <f>IFERROR(__xludf.DUMMYFUNCTION("""COMPUTED_VALUE"""),4.0)</f>
        <v>4</v>
      </c>
      <c r="E19" s="4">
        <f>IFERROR(__xludf.DUMMYFUNCTION("""COMPUTED_VALUE"""),5.0)</f>
        <v>5</v>
      </c>
      <c r="F19" s="4"/>
      <c r="G19" s="4">
        <f>IFERROR(__xludf.DUMMYFUNCTION("""COMPUTED_VALUE"""),4.7)</f>
        <v>4.7</v>
      </c>
      <c r="H19" s="4"/>
      <c r="I19" s="4">
        <f>IFERROR(__xludf.DUMMYFUNCTION("""COMPUTED_VALUE"""),2.4)</f>
        <v>2.4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>
        <f>IFERROR(__xludf.DUMMYFUNCTION("""COMPUTED_VALUE"""),5.0)</f>
        <v>5</v>
      </c>
      <c r="Q19" s="4"/>
      <c r="R19" s="4"/>
      <c r="S19" s="6">
        <f>IFERROR(__xludf.DUMMYFUNCTION("""COMPUTED_VALUE"""),3.69)</f>
        <v>3.69</v>
      </c>
      <c r="T19" s="9">
        <f>IFERROR(__xludf.DUMMYFUNCTION("""COMPUTED_VALUE"""),1.23)</f>
        <v>1.23</v>
      </c>
      <c r="U19" s="4"/>
      <c r="V19" s="4"/>
      <c r="W19" s="4">
        <f>IFERROR(__xludf.DUMMYFUNCTION("""COMPUTED_VALUE"""),4.7)</f>
        <v>4.7</v>
      </c>
      <c r="X19" s="4"/>
      <c r="Y19" s="4">
        <f>IFERROR(__xludf.DUMMYFUNCTION("""COMPUTED_VALUE"""),2260367.0)</f>
        <v>2260367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4">
        <f>IFERROR(__xludf.DUMMYFUNCTION("""COMPUTED_VALUE"""),5.0)</f>
        <v>5</v>
      </c>
      <c r="D20" s="4">
        <f>IFERROR(__xludf.DUMMYFUNCTION("""COMPUTED_VALUE"""),3.3)</f>
        <v>3.3</v>
      </c>
      <c r="E20" s="4">
        <f>IFERROR(__xludf.DUMMYFUNCTION("""COMPUTED_VALUE"""),5.0)</f>
        <v>5</v>
      </c>
      <c r="F20" s="4"/>
      <c r="G20" s="4">
        <f>IFERROR(__xludf.DUMMYFUNCTION("""COMPUTED_VALUE"""),4.2)</f>
        <v>4.2</v>
      </c>
      <c r="H20" s="4"/>
      <c r="I20" s="4">
        <f>IFERROR(__xludf.DUMMYFUNCTION("""COMPUTED_VALUE"""),2.1)</f>
        <v>2.1</v>
      </c>
      <c r="J20" s="4">
        <f>IFERROR(__xludf.DUMMYFUNCTION("""COMPUTED_VALUE"""),5.0)</f>
        <v>5</v>
      </c>
      <c r="K20" s="4">
        <f>IFERROR(__xludf.DUMMYFUNCTION("""COMPUTED_VALUE"""),5.0)</f>
        <v>5</v>
      </c>
      <c r="L20" s="4">
        <f>IFERROR(__xludf.DUMMYFUNCTION("""COMPUTED_VALUE"""),5.0)</f>
        <v>5</v>
      </c>
      <c r="M20" s="4">
        <f>IFERROR(__xludf.DUMMYFUNCTION("""COMPUTED_VALUE"""),0.0)</f>
        <v>0</v>
      </c>
      <c r="N20" s="4">
        <f>IFERROR(__xludf.DUMMYFUNCTION("""COMPUTED_VALUE"""),5.0)</f>
        <v>5</v>
      </c>
      <c r="O20" s="4"/>
      <c r="P20" s="4">
        <f>IFERROR(__xludf.DUMMYFUNCTION("""COMPUTED_VALUE"""),5.0)</f>
        <v>5</v>
      </c>
      <c r="Q20" s="4"/>
      <c r="R20" s="4"/>
      <c r="S20" s="6">
        <f>IFERROR(__xludf.DUMMYFUNCTION("""COMPUTED_VALUE"""),3.415)</f>
        <v>3.415</v>
      </c>
      <c r="T20" s="9">
        <f>IFERROR(__xludf.DUMMYFUNCTION("""COMPUTED_VALUE"""),1.1383333333333334)</f>
        <v>1.138333333</v>
      </c>
      <c r="U20" s="4"/>
      <c r="V20" s="4"/>
      <c r="W20" s="4">
        <f>IFERROR(__xludf.DUMMYFUNCTION("""COMPUTED_VALUE"""),4.2)</f>
        <v>4.2</v>
      </c>
      <c r="X20" s="4"/>
      <c r="Y20" s="4">
        <f>IFERROR(__xludf.DUMMYFUNCTION("""COMPUTED_VALUE"""),2260339.0)</f>
        <v>2260339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4">
        <f>IFERROR(__xludf.DUMMYFUNCTION("""COMPUTED_VALUE"""),4.5)</f>
        <v>4.5</v>
      </c>
      <c r="D21" s="4">
        <f>IFERROR(__xludf.DUMMYFUNCTION("""COMPUTED_VALUE"""),4.7)</f>
        <v>4.7</v>
      </c>
      <c r="E21" s="4">
        <f>IFERROR(__xludf.DUMMYFUNCTION("""COMPUTED_VALUE"""),5.0)</f>
        <v>5</v>
      </c>
      <c r="F21" s="4"/>
      <c r="G21" s="4">
        <f>IFERROR(__xludf.DUMMYFUNCTION("""COMPUTED_VALUE"""),4.9)</f>
        <v>4.9</v>
      </c>
      <c r="H21" s="4"/>
      <c r="I21" s="4">
        <f>IFERROR(__xludf.DUMMYFUNCTION("""COMPUTED_VALUE"""),2.5)</f>
        <v>2.5</v>
      </c>
      <c r="J21" s="4">
        <f>IFERROR(__xludf.DUMMYFUNCTION("""COMPUTED_VALUE"""),5.0)</f>
        <v>5</v>
      </c>
      <c r="K21" s="4">
        <f>IFERROR(__xludf.DUMMYFUNCTION("""COMPUTED_VALUE"""),4.2)</f>
        <v>4.2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>
        <f>IFERROR(__xludf.DUMMYFUNCTION("""COMPUTED_VALUE"""),5.0)</f>
        <v>5</v>
      </c>
      <c r="Q21" s="4"/>
      <c r="R21" s="4"/>
      <c r="S21" s="6">
        <f>IFERROR(__xludf.DUMMYFUNCTION("""COMPUTED_VALUE"""),3.8299999999999996)</f>
        <v>3.83</v>
      </c>
      <c r="T21" s="9">
        <f>IFERROR(__xludf.DUMMYFUNCTION("""COMPUTED_VALUE"""),1.2766666666666666)</f>
        <v>1.276666667</v>
      </c>
      <c r="U21" s="4"/>
      <c r="V21" s="4"/>
      <c r="W21" s="4">
        <f>IFERROR(__xludf.DUMMYFUNCTION("""COMPUTED_VALUE"""),4.9)</f>
        <v>4.9</v>
      </c>
      <c r="X21" s="4"/>
      <c r="Y21" s="4">
        <f>IFERROR(__xludf.DUMMYFUNCTION("""COMPUTED_VALUE"""),2260348.0)</f>
        <v>2260348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4">
        <f>IFERROR(__xludf.DUMMYFUNCTION("""COMPUTED_VALUE"""),4.5)</f>
        <v>4.5</v>
      </c>
      <c r="D22" s="4">
        <f>IFERROR(__xludf.DUMMYFUNCTION("""COMPUTED_VALUE"""),3.0)</f>
        <v>3</v>
      </c>
      <c r="E22" s="4">
        <f>IFERROR(__xludf.DUMMYFUNCTION("""COMPUTED_VALUE"""),3.7)</f>
        <v>3.7</v>
      </c>
      <c r="F22" s="4"/>
      <c r="G22" s="4">
        <f>IFERROR(__xludf.DUMMYFUNCTION("""COMPUTED_VALUE"""),3.2)</f>
        <v>3.2</v>
      </c>
      <c r="H22" s="4"/>
      <c r="I22" s="4">
        <f>IFERROR(__xludf.DUMMYFUNCTION("""COMPUTED_VALUE"""),1.6)</f>
        <v>1.6</v>
      </c>
      <c r="J22" s="4">
        <f>IFERROR(__xludf.DUMMYFUNCTION("""COMPUTED_VALUE"""),5.0)</f>
        <v>5</v>
      </c>
      <c r="K22" s="4">
        <f>IFERROR(__xludf.DUMMYFUNCTION("""COMPUTED_VALUE"""),4.0)</f>
        <v>4</v>
      </c>
      <c r="L22" s="4">
        <f>IFERROR(__xludf.DUMMYFUNCTION("""COMPUTED_VALUE"""),5.0)</f>
        <v>5</v>
      </c>
      <c r="M22" s="4">
        <f>IFERROR(__xludf.DUMMYFUNCTION("""COMPUTED_VALUE"""),0.0)</f>
        <v>0</v>
      </c>
      <c r="N22" s="4">
        <f>IFERROR(__xludf.DUMMYFUNCTION("""COMPUTED_VALUE"""),5.0)</f>
        <v>5</v>
      </c>
      <c r="O22" s="4"/>
      <c r="P22" s="4">
        <f>IFERROR(__xludf.DUMMYFUNCTION("""COMPUTED_VALUE"""),0.0)</f>
        <v>0</v>
      </c>
      <c r="Q22" s="4"/>
      <c r="R22" s="4"/>
      <c r="S22" s="6">
        <f>IFERROR(__xludf.DUMMYFUNCTION("""COMPUTED_VALUE"""),2.805)</f>
        <v>2.805</v>
      </c>
      <c r="T22" s="9">
        <f>IFERROR(__xludf.DUMMYFUNCTION("""COMPUTED_VALUE"""),0.935)</f>
        <v>0.935</v>
      </c>
      <c r="U22" s="4"/>
      <c r="V22" s="4"/>
      <c r="W22" s="4">
        <f>IFERROR(__xludf.DUMMYFUNCTION("""COMPUTED_VALUE"""),3.2)</f>
        <v>3.2</v>
      </c>
      <c r="X22" s="4"/>
      <c r="Y22" s="4">
        <f>IFERROR(__xludf.DUMMYFUNCTION("""COMPUTED_VALUE"""),2260373.0)</f>
        <v>2260373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4">
        <f>IFERROR(__xludf.DUMMYFUNCTION("""COMPUTED_VALUE"""),5.0)</f>
        <v>5</v>
      </c>
      <c r="D23" s="4">
        <f>IFERROR(__xludf.DUMMYFUNCTION("""COMPUTED_VALUE"""),4.0)</f>
        <v>4</v>
      </c>
      <c r="E23" s="4">
        <f>IFERROR(__xludf.DUMMYFUNCTION("""COMPUTED_VALUE"""),5.0)</f>
        <v>5</v>
      </c>
      <c r="F23" s="4"/>
      <c r="G23" s="4">
        <f>IFERROR(__xludf.DUMMYFUNCTION("""COMPUTED_VALUE"""),4.8)</f>
        <v>4.8</v>
      </c>
      <c r="H23" s="4"/>
      <c r="I23" s="4">
        <f>IFERROR(__xludf.DUMMYFUNCTION("""COMPUTED_VALUE"""),2.4)</f>
        <v>2.4</v>
      </c>
      <c r="J23" s="4">
        <f>IFERROR(__xludf.DUMMYFUNCTION("""COMPUTED_VALUE"""),5.0)</f>
        <v>5</v>
      </c>
      <c r="K23" s="4">
        <f>IFERROR(__xludf.DUMMYFUNCTION("""COMPUTED_VALUE"""),4.0)</f>
        <v>4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/>
      <c r="P23" s="4">
        <f>IFERROR(__xludf.DUMMYFUNCTION("""COMPUTED_VALUE"""),5.0)</f>
        <v>5</v>
      </c>
      <c r="Q23" s="4"/>
      <c r="R23" s="4"/>
      <c r="S23" s="6">
        <f>IFERROR(__xludf.DUMMYFUNCTION("""COMPUTED_VALUE"""),3.71)</f>
        <v>3.71</v>
      </c>
      <c r="T23" s="9">
        <f>IFERROR(__xludf.DUMMYFUNCTION("""COMPUTED_VALUE"""),1.2366666666666666)</f>
        <v>1.236666667</v>
      </c>
      <c r="U23" s="4"/>
      <c r="V23" s="4"/>
      <c r="W23" s="4">
        <f>IFERROR(__xludf.DUMMYFUNCTION("""COMPUTED_VALUE"""),4.8)</f>
        <v>4.8</v>
      </c>
      <c r="X23" s="4"/>
      <c r="Y23" s="4">
        <f>IFERROR(__xludf.DUMMYFUNCTION("""COMPUTED_VALUE"""),2260337.0)</f>
        <v>2260337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4">
        <f>IFERROR(__xludf.DUMMYFUNCTION("""COMPUTED_VALUE"""),5.0)</f>
        <v>5</v>
      </c>
      <c r="D24" s="4">
        <f>IFERROR(__xludf.DUMMYFUNCTION("""COMPUTED_VALUE"""),5.0)</f>
        <v>5</v>
      </c>
      <c r="E24" s="4">
        <f>IFERROR(__xludf.DUMMYFUNCTION("""COMPUTED_VALUE"""),5.0)</f>
        <v>5</v>
      </c>
      <c r="F24" s="4"/>
      <c r="G24" s="4">
        <f>IFERROR(__xludf.DUMMYFUNCTION("""COMPUTED_VALUE"""),4.8)</f>
        <v>4.8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>
        <f>IFERROR(__xludf.DUMMYFUNCTION("""COMPUTED_VALUE"""),5.0)</f>
        <v>5</v>
      </c>
      <c r="Q24" s="4"/>
      <c r="R24" s="4"/>
      <c r="S24" s="6">
        <f>IFERROR(__xludf.DUMMYFUNCTION("""COMPUTED_VALUE"""),3.96)</f>
        <v>3.96</v>
      </c>
      <c r="T24" s="9">
        <f>IFERROR(__xludf.DUMMYFUNCTION("""COMPUTED_VALUE"""),1.32)</f>
        <v>1.32</v>
      </c>
      <c r="U24" s="4"/>
      <c r="V24" s="4"/>
      <c r="W24" s="4">
        <f>IFERROR(__xludf.DUMMYFUNCTION("""COMPUTED_VALUE"""),4.8)</f>
        <v>4.8</v>
      </c>
      <c r="X24" s="4"/>
      <c r="Y24" s="4">
        <f>IFERROR(__xludf.DUMMYFUNCTION("""COMPUTED_VALUE"""),2260351.0)</f>
        <v>2260351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>
        <f>IFERROR(__xludf.DUMMYFUNCTION("""COMPUTED_VALUE"""),5.0)</f>
        <v>5</v>
      </c>
      <c r="Q25" s="4"/>
      <c r="R25" s="4"/>
      <c r="S25" s="6">
        <f>IFERROR(__xludf.DUMMYFUNCTION("""COMPUTED_VALUE"""),4.0)</f>
        <v>4</v>
      </c>
      <c r="T25" s="9">
        <f>IFERROR(__xludf.DUMMYFUNCTION("""COMPUTED_VALUE"""),1.3333333333333333)</f>
        <v>1.333333333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IFERROR(__xludf.DUMMYFUNCTION("""COMPUTED_VALUE"""),2260349.0)</f>
        <v>2260349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4">
        <f>IFERROR(__xludf.DUMMYFUNCTION("""COMPUTED_VALUE"""),2.1)</f>
        <v>2.1</v>
      </c>
      <c r="D26" s="4">
        <f>IFERROR(__xludf.DUMMYFUNCTION("""COMPUTED_VALUE"""),3.0)</f>
        <v>3</v>
      </c>
      <c r="E26" s="4">
        <f>IFERROR(__xludf.DUMMYFUNCTION("""COMPUTED_VALUE"""),3.5)</f>
        <v>3.5</v>
      </c>
      <c r="F26" s="4"/>
      <c r="G26" s="4">
        <f>IFERROR(__xludf.DUMMYFUNCTION("""COMPUTED_VALUE"""),4.4)</f>
        <v>4.4</v>
      </c>
      <c r="H26" s="4"/>
      <c r="I26" s="4">
        <f>IFERROR(__xludf.DUMMYFUNCTION("""COMPUTED_VALUE"""),2.2)</f>
        <v>2.2</v>
      </c>
      <c r="J26" s="4">
        <f>IFERROR(__xludf.DUMMYFUNCTION("""COMPUTED_VALUE"""),2.0)</f>
        <v>2</v>
      </c>
      <c r="K26" s="4">
        <f>IFERROR(__xludf.DUMMYFUNCTION("""COMPUTED_VALUE"""),4.6)</f>
        <v>4.6</v>
      </c>
      <c r="L26" s="4">
        <f>IFERROR(__xludf.DUMMYFUNCTION("""COMPUTED_VALUE"""),5.0)</f>
        <v>5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/>
      <c r="P26" s="4">
        <f>IFERROR(__xludf.DUMMYFUNCTION("""COMPUTED_VALUE"""),5.0)</f>
        <v>5</v>
      </c>
      <c r="Q26" s="4"/>
      <c r="R26" s="4"/>
      <c r="S26" s="6">
        <f>IFERROR(__xludf.DUMMYFUNCTION("""COMPUTED_VALUE"""),2.6450000000000005)</f>
        <v>2.645</v>
      </c>
      <c r="T26" s="9">
        <f>IFERROR(__xludf.DUMMYFUNCTION("""COMPUTED_VALUE"""),0.8816666666666668)</f>
        <v>0.8816666667</v>
      </c>
      <c r="U26" s="4"/>
      <c r="V26" s="4"/>
      <c r="W26" s="4">
        <f>IFERROR(__xludf.DUMMYFUNCTION("""COMPUTED_VALUE"""),4.4)</f>
        <v>4.4</v>
      </c>
      <c r="X26" s="4"/>
      <c r="Y26" s="4">
        <f>IFERROR(__xludf.DUMMYFUNCTION("""COMPUTED_VALUE"""),2260369.0)</f>
        <v>2260369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4">
        <f>IFERROR(__xludf.DUMMYFUNCTION("""COMPUTED_VALUE"""),5.0)</f>
        <v>5</v>
      </c>
      <c r="D27" s="4">
        <f>IFERROR(__xludf.DUMMYFUNCTION("""COMPUTED_VALUE"""),5.0)</f>
        <v>5</v>
      </c>
      <c r="E27" s="4">
        <f>IFERROR(__xludf.DUMMYFUNCTION("""COMPUTED_VALUE"""),3.6)</f>
        <v>3.6</v>
      </c>
      <c r="F27" s="4"/>
      <c r="G27" s="4">
        <f>IFERROR(__xludf.DUMMYFUNCTION("""COMPUTED_VALUE"""),3.7)</f>
        <v>3.7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IFERROR(__xludf.DUMMYFUNCTION("""COMPUTED_VALUE"""),0.0)</f>
        <v>0</v>
      </c>
      <c r="O27" s="4"/>
      <c r="P27" s="4">
        <f>IFERROR(__xludf.DUMMYFUNCTION("""COMPUTED_VALUE"""),5.0)</f>
        <v>5</v>
      </c>
      <c r="Q27" s="4"/>
      <c r="R27" s="4"/>
      <c r="S27" s="6">
        <f>IFERROR(__xludf.DUMMYFUNCTION("""COMPUTED_VALUE"""),3.4600000000000004)</f>
        <v>3.46</v>
      </c>
      <c r="T27" s="9">
        <f>IFERROR(__xludf.DUMMYFUNCTION("""COMPUTED_VALUE"""),1.1533333333333335)</f>
        <v>1.153333333</v>
      </c>
      <c r="U27" s="4"/>
      <c r="V27" s="4"/>
      <c r="W27" s="4">
        <f>IFERROR(__xludf.DUMMYFUNCTION("""COMPUTED_VALUE"""),3.7)</f>
        <v>3.7</v>
      </c>
      <c r="X27" s="4"/>
      <c r="Y27" s="4">
        <f>IFERROR(__xludf.DUMMYFUNCTION("""COMPUTED_VALUE"""),2260352.0)</f>
        <v>2260352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4">
        <f>IFERROR(__xludf.DUMMYFUNCTION("""COMPUTED_VALUE"""),5.0)</f>
        <v>5</v>
      </c>
      <c r="D28" s="4">
        <f>IFERROR(__xludf.DUMMYFUNCTION("""COMPUTED_VALUE"""),3.5)</f>
        <v>3.5</v>
      </c>
      <c r="E28" s="4">
        <f>IFERROR(__xludf.DUMMYFUNCTION("""COMPUTED_VALUE"""),5.0)</f>
        <v>5</v>
      </c>
      <c r="F28" s="4"/>
      <c r="G28" s="4">
        <f>IFERROR(__xludf.DUMMYFUNCTION("""COMPUTED_VALUE"""),4.9)</f>
        <v>4.9</v>
      </c>
      <c r="H28" s="4"/>
      <c r="I28" s="4">
        <f>IFERROR(__xludf.DUMMYFUNCTION("""COMPUTED_VALUE"""),2.5)</f>
        <v>2.5</v>
      </c>
      <c r="J28" s="4">
        <f>IFERROR(__xludf.DUMMYFUNCTION("""COMPUTED_VALUE"""),5.0)</f>
        <v>5</v>
      </c>
      <c r="K28" s="4">
        <f>IFERROR(__xludf.DUMMYFUNCTION("""COMPUTED_VALUE"""),4.2)</f>
        <v>4.2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>
        <f>IFERROR(__xludf.DUMMYFUNCTION("""COMPUTED_VALUE"""),5.0)</f>
        <v>5</v>
      </c>
      <c r="Q28" s="4"/>
      <c r="R28" s="4"/>
      <c r="S28" s="6">
        <f>IFERROR(__xludf.DUMMYFUNCTION("""COMPUTED_VALUE"""),3.605)</f>
        <v>3.605</v>
      </c>
      <c r="T28" s="9">
        <f>IFERROR(__xludf.DUMMYFUNCTION("""COMPUTED_VALUE"""),1.2016666666666667)</f>
        <v>1.201666667</v>
      </c>
      <c r="U28" s="4"/>
      <c r="V28" s="4"/>
      <c r="W28" s="4">
        <f>IFERROR(__xludf.DUMMYFUNCTION("""COMPUTED_VALUE"""),4.9)</f>
        <v>4.9</v>
      </c>
      <c r="X28" s="4"/>
      <c r="Y28" s="4">
        <f>IFERROR(__xludf.DUMMYFUNCTION("""COMPUTED_VALUE"""),2260371.0)</f>
        <v>2260371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4">
        <f>IFERROR(__xludf.DUMMYFUNCTION("""COMPUTED_VALUE"""),5.0)</f>
        <v>5</v>
      </c>
      <c r="D29" s="4">
        <f>IFERROR(__xludf.DUMMYFUNCTION("""COMPUTED_VALUE"""),5.0)</f>
        <v>5</v>
      </c>
      <c r="E29" s="4">
        <f>IFERROR(__xludf.DUMMYFUNCTION("""COMPUTED_VALUE"""),4.9)</f>
        <v>4.9</v>
      </c>
      <c r="F29" s="4"/>
      <c r="G29" s="4">
        <f>IFERROR(__xludf.DUMMYFUNCTION("""COMPUTED_VALUE"""),4.6)</f>
        <v>4.6</v>
      </c>
      <c r="H29" s="4"/>
      <c r="I29" s="4">
        <f>IFERROR(__xludf.DUMMYFUNCTION("""COMPUTED_VALUE"""),2.3)</f>
        <v>2.3</v>
      </c>
      <c r="J29" s="4">
        <f>IFERROR(__xludf.DUMMYFUNCTION("""COMPUTED_VALUE"""),3.5)</f>
        <v>3.5</v>
      </c>
      <c r="K29" s="4">
        <f>IFERROR(__xludf.DUMMYFUNCTION("""COMPUTED_VALUE"""),4.2)</f>
        <v>4.2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/>
      <c r="P29" s="4">
        <f>IFERROR(__xludf.DUMMYFUNCTION("""COMPUTED_VALUE"""),5.0)</f>
        <v>5</v>
      </c>
      <c r="Q29" s="4"/>
      <c r="R29" s="4"/>
      <c r="S29" s="6">
        <f>IFERROR(__xludf.DUMMYFUNCTION("""COMPUTED_VALUE"""),3.9)</f>
        <v>3.9</v>
      </c>
      <c r="T29" s="9">
        <f>IFERROR(__xludf.DUMMYFUNCTION("""COMPUTED_VALUE"""),1.3)</f>
        <v>1.3</v>
      </c>
      <c r="U29" s="4"/>
      <c r="V29" s="4"/>
      <c r="W29" s="4">
        <f>IFERROR(__xludf.DUMMYFUNCTION("""COMPUTED_VALUE"""),4.6)</f>
        <v>4.6</v>
      </c>
      <c r="X29" s="4"/>
      <c r="Y29" s="4">
        <f>IFERROR(__xludf.DUMMYFUNCTION("""COMPUTED_VALUE"""),2260359.0)</f>
        <v>2260359</v>
      </c>
      <c r="Z29" s="4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IFERROR(__xludf.DUMMYFUNCTION("""COMPUTED_VALUE"""),"TUTORIAS(8%)")</f>
        <v>TUTORIAS(8%)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4"/>
      <c r="AA1" s="4" t="str">
        <f>IFERROR(__xludf.DUMMYFUNCTION("""COMPUTED_VALUE"""),"COD")</f>
        <v>COD</v>
      </c>
      <c r="AB1" s="4"/>
      <c r="AC1" s="4"/>
      <c r="AD1" s="4"/>
      <c r="AE1" s="4"/>
      <c r="AF1" s="4"/>
      <c r="AG1" s="4"/>
      <c r="AH1" s="4"/>
      <c r="AI1" s="4"/>
      <c r="AJ1" s="4"/>
      <c r="AK1" s="4"/>
    </row>
    <row r="2">
      <c r="A2" s="4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4">
        <f>IFERROR(__xludf.DUMMYFUNCTION("""COMPUTED_VALUE"""),4.1)</f>
        <v>4.1</v>
      </c>
      <c r="D2" s="4">
        <f>IFERROR(__xludf.DUMMYFUNCTION("""COMPUTED_VALUE"""),4.8)</f>
        <v>4.8</v>
      </c>
      <c r="E2" s="4">
        <f>IFERROR(__xludf.DUMMYFUNCTION("""COMPUTED_VALUE"""),3.3)</f>
        <v>3.3</v>
      </c>
      <c r="F2" s="4"/>
      <c r="G2" s="4">
        <f>IFERROR(__xludf.DUMMYFUNCTION("""COMPUTED_VALUE"""),4.2)</f>
        <v>4.2</v>
      </c>
      <c r="H2" s="4"/>
      <c r="I2" s="4">
        <f>IFERROR(__xludf.DUMMYFUNCTION("""COMPUTED_VALUE"""),2.0)</f>
        <v>2</v>
      </c>
      <c r="J2" s="4">
        <f>IFERROR(__xludf.DUMMYFUNCTION("""COMPUTED_VALUE"""),3.6)</f>
        <v>3.6</v>
      </c>
      <c r="K2" s="4">
        <f>IFERROR(__xludf.DUMMYFUNCTION("""COMPUTED_VALUE"""),4.5)</f>
        <v>4.5</v>
      </c>
      <c r="L2" s="4">
        <f>IFERROR(__xludf.DUMMYFUNCTION("""COMPUTED_VALUE"""),3.5)</f>
        <v>3.5</v>
      </c>
      <c r="M2" s="4">
        <f>IFERROR(__xludf.DUMMYFUNCTION("""COMPUTED_VALUE"""),2.7)</f>
        <v>2.7</v>
      </c>
      <c r="N2" s="4">
        <f>IFERROR(__xludf.DUMMYFUNCTION("""COMPUTED_VALUE"""),3.6)</f>
        <v>3.6</v>
      </c>
      <c r="O2" s="4">
        <f>IFERROR(__xludf.DUMMYFUNCTION("""COMPUTED_VALUE"""),3.63)</f>
        <v>3.63</v>
      </c>
      <c r="P2" s="4">
        <f>IFERROR(__xludf.DUMMYFUNCTION("""COMPUTED_VALUE"""),4.33)</f>
        <v>4.33</v>
      </c>
      <c r="Q2" s="4">
        <f>IFERROR(__xludf.DUMMYFUNCTION("""COMPUTED_VALUE"""),5.0)</f>
        <v>5</v>
      </c>
      <c r="R2" s="4">
        <f>IFERROR(__xludf.DUMMYFUNCTION("""COMPUTED_VALUE"""),5.0)</f>
        <v>5</v>
      </c>
      <c r="S2" s="4">
        <f>IFERROR(__xludf.DUMMYFUNCTION("""COMPUTED_VALUE"""),5.0)</f>
        <v>5</v>
      </c>
      <c r="T2" s="4"/>
      <c r="U2" s="6">
        <f>IFERROR(__xludf.DUMMYFUNCTION("""COMPUTED_VALUE"""),3.2349999999999994)</f>
        <v>3.235</v>
      </c>
      <c r="V2" s="9">
        <f>IFERROR(__xludf.DUMMYFUNCTION("""COMPUTED_VALUE"""),1.0783333333333331)</f>
        <v>1.078333333</v>
      </c>
      <c r="W2" s="4"/>
      <c r="X2" s="4"/>
      <c r="Y2" s="4">
        <f>IFERROR(__xludf.DUMMYFUNCTION("""COMPUTED_VALUE"""),4.2)</f>
        <v>4.2</v>
      </c>
      <c r="Z2" s="4"/>
      <c r="AA2" s="4">
        <f>IFERROR(__xludf.DUMMYFUNCTION("""COMPUTED_VALUE"""),2261221.0)</f>
        <v>2261221</v>
      </c>
      <c r="AB2" s="4"/>
      <c r="AC2" s="4"/>
      <c r="AD2" s="4"/>
      <c r="AE2" s="4"/>
      <c r="AF2" s="4"/>
      <c r="AG2" s="4"/>
      <c r="AH2" s="4"/>
      <c r="AI2" s="4"/>
      <c r="AJ2" s="4"/>
      <c r="AK2" s="4"/>
    </row>
    <row r="3">
      <c r="A3" s="4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4">
        <f>IFERROR(__xludf.DUMMYFUNCTION("""COMPUTED_VALUE"""),3.8)</f>
        <v>3.8</v>
      </c>
      <c r="D3" s="4">
        <f>IFERROR(__xludf.DUMMYFUNCTION("""COMPUTED_VALUE"""),4.5)</f>
        <v>4.5</v>
      </c>
      <c r="E3" s="4">
        <f>IFERROR(__xludf.DUMMYFUNCTION("""COMPUTED_VALUE"""),2.2)</f>
        <v>2.2</v>
      </c>
      <c r="F3" s="4"/>
      <c r="G3" s="4">
        <f>IFERROR(__xludf.DUMMYFUNCTION("""COMPUTED_VALUE"""),4.8)</f>
        <v>4.8</v>
      </c>
      <c r="H3" s="4"/>
      <c r="I3" s="4">
        <f>IFERROR(__xludf.DUMMYFUNCTION("""COMPUTED_VALUE"""),2.2)</f>
        <v>2.2</v>
      </c>
      <c r="J3" s="4">
        <f>IFERROR(__xludf.DUMMYFUNCTION("""COMPUTED_VALUE"""),3.6)</f>
        <v>3.6</v>
      </c>
      <c r="K3" s="4">
        <f>IFERROR(__xludf.DUMMYFUNCTION("""COMPUTED_VALUE"""),4.55)</f>
        <v>4.55</v>
      </c>
      <c r="L3" s="4">
        <f>IFERROR(__xludf.DUMMYFUNCTION("""COMPUTED_VALUE"""),5.0)</f>
        <v>5</v>
      </c>
      <c r="M3" s="4">
        <f>IFERROR(__xludf.DUMMYFUNCTION("""COMPUTED_VALUE"""),4.4)</f>
        <v>4.4</v>
      </c>
      <c r="N3" s="4">
        <f>IFERROR(__xludf.DUMMYFUNCTION("""COMPUTED_VALUE"""),1.0)</f>
        <v>1</v>
      </c>
      <c r="O3" s="4">
        <f>IFERROR(__xludf.DUMMYFUNCTION("""COMPUTED_VALUE"""),4.75)</f>
        <v>4.75</v>
      </c>
      <c r="P3" s="4">
        <f>IFERROR(__xludf.DUMMYFUNCTION("""COMPUTED_VALUE"""),4.67)</f>
        <v>4.67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4">
        <f>IFERROR(__xludf.DUMMYFUNCTION("""COMPUTED_VALUE"""),5.0)</f>
        <v>5</v>
      </c>
      <c r="T3" s="4"/>
      <c r="U3" s="6">
        <f>IFERROR(__xludf.DUMMYFUNCTION("""COMPUTED_VALUE"""),2.9299999999999997)</f>
        <v>2.93</v>
      </c>
      <c r="V3" s="9">
        <f>IFERROR(__xludf.DUMMYFUNCTION("""COMPUTED_VALUE"""),0.9766666666666666)</f>
        <v>0.9766666667</v>
      </c>
      <c r="W3" s="4"/>
      <c r="X3" s="4"/>
      <c r="Y3" s="4">
        <f>IFERROR(__xludf.DUMMYFUNCTION("""COMPUTED_VALUE"""),4.8)</f>
        <v>4.8</v>
      </c>
      <c r="Z3" s="4"/>
      <c r="AA3" s="4">
        <f>IFERROR(__xludf.DUMMYFUNCTION("""COMPUTED_VALUE"""),2261862.0)</f>
        <v>2261862</v>
      </c>
      <c r="AB3" s="4"/>
      <c r="AC3" s="4"/>
      <c r="AD3" s="4"/>
      <c r="AE3" s="4"/>
      <c r="AF3" s="4"/>
      <c r="AG3" s="4"/>
      <c r="AH3" s="4"/>
      <c r="AI3" s="4"/>
      <c r="AJ3" s="4"/>
      <c r="AK3" s="4"/>
    </row>
    <row r="4">
      <c r="A4" s="4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4">
        <f>IFERROR(__xludf.DUMMYFUNCTION("""COMPUTED_VALUE"""),4.8)</f>
        <v>4.8</v>
      </c>
      <c r="D4" s="4">
        <f>IFERROR(__xludf.DUMMYFUNCTION("""COMPUTED_VALUE"""),3.9)</f>
        <v>3.9</v>
      </c>
      <c r="E4" s="4">
        <f>IFERROR(__xludf.DUMMYFUNCTION("""COMPUTED_VALUE"""),2.4)</f>
        <v>2.4</v>
      </c>
      <c r="F4" s="4"/>
      <c r="G4" s="4">
        <f>IFERROR(__xludf.DUMMYFUNCTION("""COMPUTED_VALUE"""),4.5)</f>
        <v>4.5</v>
      </c>
      <c r="H4" s="4"/>
      <c r="I4" s="4">
        <f>IFERROR(__xludf.DUMMYFUNCTION("""COMPUTED_VALUE"""),2.1)</f>
        <v>2.1</v>
      </c>
      <c r="J4" s="4">
        <f>IFERROR(__xludf.DUMMYFUNCTION("""COMPUTED_VALUE"""),5.0)</f>
        <v>5</v>
      </c>
      <c r="K4" s="4">
        <f>IFERROR(__xludf.DUMMYFUNCTION("""COMPUTED_VALUE"""),4.27)</f>
        <v>4.27</v>
      </c>
      <c r="L4" s="4">
        <f>IFERROR(__xludf.DUMMYFUNCTION("""COMPUTED_VALUE"""),0.3)</f>
        <v>0.3</v>
      </c>
      <c r="M4" s="4">
        <f>IFERROR(__xludf.DUMMYFUNCTION("""COMPUTED_VALUE"""),2.4)</f>
        <v>2.4</v>
      </c>
      <c r="N4" s="4">
        <f>IFERROR(__xludf.DUMMYFUNCTION("""COMPUTED_VALUE"""),3.5)</f>
        <v>3.5</v>
      </c>
      <c r="O4" s="4">
        <f>IFERROR(__xludf.DUMMYFUNCTION("""COMPUTED_VALUE"""),4.5)</f>
        <v>4.5</v>
      </c>
      <c r="P4" s="4">
        <f>IFERROR(__xludf.DUMMYFUNCTION("""COMPUTED_VALUE"""),4.31)</f>
        <v>4.31</v>
      </c>
      <c r="Q4" s="4">
        <f>IFERROR(__xludf.DUMMYFUNCTION("""COMPUTED_VALUE"""),5.0)</f>
        <v>5</v>
      </c>
      <c r="R4" s="4">
        <f>IFERROR(__xludf.DUMMYFUNCTION("""COMPUTED_VALUE"""),5.0)</f>
        <v>5</v>
      </c>
      <c r="S4" s="4">
        <f>IFERROR(__xludf.DUMMYFUNCTION("""COMPUTED_VALUE"""),5.0)</f>
        <v>5</v>
      </c>
      <c r="T4" s="4"/>
      <c r="U4" s="6">
        <f>IFERROR(__xludf.DUMMYFUNCTION("""COMPUTED_VALUE"""),3.0149999999999997)</f>
        <v>3.015</v>
      </c>
      <c r="V4" s="9">
        <f>IFERROR(__xludf.DUMMYFUNCTION("""COMPUTED_VALUE"""),1.005)</f>
        <v>1.005</v>
      </c>
      <c r="W4" s="4"/>
      <c r="X4" s="4"/>
      <c r="Y4" s="4">
        <f>IFERROR(__xludf.DUMMYFUNCTION("""COMPUTED_VALUE"""),4.5)</f>
        <v>4.5</v>
      </c>
      <c r="Z4" s="4"/>
      <c r="AA4" s="4">
        <f>IFERROR(__xludf.DUMMYFUNCTION("""COMPUTED_VALUE"""),2261933.0)</f>
        <v>2261933</v>
      </c>
      <c r="AB4" s="4"/>
      <c r="AC4" s="4"/>
      <c r="AD4" s="4"/>
      <c r="AE4" s="4"/>
      <c r="AF4" s="4"/>
      <c r="AG4" s="4"/>
      <c r="AH4" s="4"/>
      <c r="AI4" s="4"/>
      <c r="AJ4" s="4"/>
      <c r="AK4" s="4"/>
    </row>
    <row r="5">
      <c r="A5" s="4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4">
        <f>IFERROR(__xludf.DUMMYFUNCTION("""COMPUTED_VALUE"""),3.1)</f>
        <v>3.1</v>
      </c>
      <c r="D5" s="4">
        <f>IFERROR(__xludf.DUMMYFUNCTION("""COMPUTED_VALUE"""),1.3)</f>
        <v>1.3</v>
      </c>
      <c r="E5" s="4">
        <f>IFERROR(__xludf.DUMMYFUNCTION("""COMPUTED_VALUE"""),2.8)</f>
        <v>2.8</v>
      </c>
      <c r="F5" s="4"/>
      <c r="G5" s="4">
        <f>IFERROR(__xludf.DUMMYFUNCTION("""COMPUTED_VALUE"""),4.4)</f>
        <v>4.4</v>
      </c>
      <c r="H5" s="4"/>
      <c r="I5" s="4">
        <f>IFERROR(__xludf.DUMMYFUNCTION("""COMPUTED_VALUE"""),2.1)</f>
        <v>2.1</v>
      </c>
      <c r="J5" s="4">
        <f>IFERROR(__xludf.DUMMYFUNCTION("""COMPUTED_VALUE"""),3.6)</f>
        <v>3.6</v>
      </c>
      <c r="K5" s="4">
        <f>IFERROR(__xludf.DUMMYFUNCTION("""COMPUTED_VALUE"""),4.4)</f>
        <v>4.4</v>
      </c>
      <c r="L5" s="4">
        <f>IFERROR(__xludf.DUMMYFUNCTION("""COMPUTED_VALUE"""),0.3)</f>
        <v>0.3</v>
      </c>
      <c r="M5" s="4">
        <f>IFERROR(__xludf.DUMMYFUNCTION("""COMPUTED_VALUE"""),3.8)</f>
        <v>3.8</v>
      </c>
      <c r="N5" s="4">
        <f>IFERROR(__xludf.DUMMYFUNCTION("""COMPUTED_VALUE"""),4.8)</f>
        <v>4.8</v>
      </c>
      <c r="O5" s="4">
        <f>IFERROR(__xludf.DUMMYFUNCTION("""COMPUTED_VALUE"""),3.88)</f>
        <v>3.88</v>
      </c>
      <c r="P5" s="4">
        <f>IFERROR(__xludf.DUMMYFUNCTION("""COMPUTED_VALUE"""),1.3)</f>
        <v>1.3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4">
        <f>IFERROR(__xludf.DUMMYFUNCTION("""COMPUTED_VALUE"""),5.0)</f>
        <v>5</v>
      </c>
      <c r="T5" s="4"/>
      <c r="U5" s="6">
        <f>IFERROR(__xludf.DUMMYFUNCTION("""COMPUTED_VALUE"""),2.24)</f>
        <v>2.24</v>
      </c>
      <c r="V5" s="9">
        <f>IFERROR(__xludf.DUMMYFUNCTION("""COMPUTED_VALUE"""),0.7466666666666667)</f>
        <v>0.7466666667</v>
      </c>
      <c r="W5" s="4"/>
      <c r="X5" s="4"/>
      <c r="Y5" s="4">
        <f>IFERROR(__xludf.DUMMYFUNCTION("""COMPUTED_VALUE"""),4.4)</f>
        <v>4.4</v>
      </c>
      <c r="Z5" s="4"/>
      <c r="AA5" s="4">
        <f>IFERROR(__xludf.DUMMYFUNCTION("""COMPUTED_VALUE"""),2262154.0)</f>
        <v>2262154</v>
      </c>
      <c r="AB5" s="4"/>
      <c r="AC5" s="4"/>
      <c r="AD5" s="4"/>
      <c r="AE5" s="4"/>
      <c r="AF5" s="4"/>
      <c r="AG5" s="4"/>
      <c r="AH5" s="4"/>
      <c r="AI5" s="4"/>
      <c r="AJ5" s="4"/>
      <c r="AK5" s="4"/>
    </row>
    <row r="6">
      <c r="A6" s="4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4">
        <f>IFERROR(__xludf.DUMMYFUNCTION("""COMPUTED_VALUE"""),3.7)</f>
        <v>3.7</v>
      </c>
      <c r="D6" s="4">
        <f>IFERROR(__xludf.DUMMYFUNCTION("""COMPUTED_VALUE"""),0.9)</f>
        <v>0.9</v>
      </c>
      <c r="E6" s="4">
        <f>IFERROR(__xludf.DUMMYFUNCTION("""COMPUTED_VALUE"""),0.0)</f>
        <v>0</v>
      </c>
      <c r="F6" s="4"/>
      <c r="G6" s="4">
        <f>IFERROR(__xludf.DUMMYFUNCTION("""COMPUTED_VALUE"""),3.4)</f>
        <v>3.4</v>
      </c>
      <c r="H6" s="4"/>
      <c r="I6" s="4">
        <f>IFERROR(__xludf.DUMMYFUNCTION("""COMPUTED_VALUE"""),1.6)</f>
        <v>1.6</v>
      </c>
      <c r="J6" s="4">
        <f>IFERROR(__xludf.DUMMYFUNCTION("""COMPUTED_VALUE"""),5.0)</f>
        <v>5</v>
      </c>
      <c r="K6" s="4">
        <f>IFERROR(__xludf.DUMMYFUNCTION("""COMPUTED_VALUE"""),4.35)</f>
        <v>4.35</v>
      </c>
      <c r="L6" s="4">
        <f>IFERROR(__xludf.DUMMYFUNCTION("""COMPUTED_VALUE"""),0.0)</f>
        <v>0</v>
      </c>
      <c r="M6" s="4">
        <f>IFERROR(__xludf.DUMMYFUNCTION("""COMPUTED_VALUE"""),0.6)</f>
        <v>0.6</v>
      </c>
      <c r="N6" s="4">
        <f>IFERROR(__xludf.DUMMYFUNCTION("""COMPUTED_VALUE"""),4.6)</f>
        <v>4.6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IFERROR(__xludf.DUMMYFUNCTION("""COMPUTED_VALUE"""),0.0)</f>
        <v>0</v>
      </c>
      <c r="R6" s="4">
        <f>IFERROR(__xludf.DUMMYFUNCTION("""COMPUTED_VALUE"""),0.0)</f>
        <v>0</v>
      </c>
      <c r="S6" s="4">
        <f>IFERROR(__xludf.DUMMYFUNCTION("""COMPUTED_VALUE"""),0.0)</f>
        <v>0</v>
      </c>
      <c r="T6" s="4"/>
      <c r="U6" s="6">
        <f>IFERROR(__xludf.DUMMYFUNCTION("""COMPUTED_VALUE"""),1.4300000000000002)</f>
        <v>1.43</v>
      </c>
      <c r="V6" s="9">
        <f>IFERROR(__xludf.DUMMYFUNCTION("""COMPUTED_VALUE"""),0.47666666666666674)</f>
        <v>0.4766666667</v>
      </c>
      <c r="W6" s="4"/>
      <c r="X6" s="4"/>
      <c r="Y6" s="4">
        <f>IFERROR(__xludf.DUMMYFUNCTION("""COMPUTED_VALUE"""),3.4)</f>
        <v>3.4</v>
      </c>
      <c r="Z6" s="4"/>
      <c r="AA6" s="4">
        <f>IFERROR(__xludf.DUMMYFUNCTION("""COMPUTED_VALUE"""),2261830.0)</f>
        <v>2261830</v>
      </c>
      <c r="AB6" s="4"/>
      <c r="AC6" s="4"/>
      <c r="AD6" s="4"/>
      <c r="AE6" s="4"/>
      <c r="AF6" s="4"/>
      <c r="AG6" s="4"/>
      <c r="AH6" s="4"/>
      <c r="AI6" s="4"/>
      <c r="AJ6" s="4"/>
      <c r="AK6" s="4"/>
    </row>
    <row r="7">
      <c r="A7" s="4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4">
        <f>IFERROR(__xludf.DUMMYFUNCTION("""COMPUTED_VALUE"""),5.0)</f>
        <v>5</v>
      </c>
      <c r="D7" s="4">
        <f>IFERROR(__xludf.DUMMYFUNCTION("""COMPUTED_VALUE"""),3.9)</f>
        <v>3.9</v>
      </c>
      <c r="E7" s="4">
        <f>IFERROR(__xludf.DUMMYFUNCTION("""COMPUTED_VALUE"""),3.2)</f>
        <v>3.2</v>
      </c>
      <c r="F7" s="4"/>
      <c r="G7" s="4">
        <f>IFERROR(__xludf.DUMMYFUNCTION("""COMPUTED_VALUE"""),4.6)</f>
        <v>4.6</v>
      </c>
      <c r="H7" s="4"/>
      <c r="I7" s="4">
        <f>IFERROR(__xludf.DUMMYFUNCTION("""COMPUTED_VALUE"""),2.1)</f>
        <v>2.1</v>
      </c>
      <c r="J7" s="4">
        <f>IFERROR(__xludf.DUMMYFUNCTION("""COMPUTED_VALUE"""),5.0)</f>
        <v>5</v>
      </c>
      <c r="K7" s="4">
        <f>IFERROR(__xludf.DUMMYFUNCTION("""COMPUTED_VALUE"""),0.0)</f>
        <v>0</v>
      </c>
      <c r="L7" s="4">
        <f>IFERROR(__xludf.DUMMYFUNCTION("""COMPUTED_VALUE"""),4.4)</f>
        <v>4.4</v>
      </c>
      <c r="M7" s="4">
        <f>IFERROR(__xludf.DUMMYFUNCTION("""COMPUTED_VALUE"""),3.8)</f>
        <v>3.8</v>
      </c>
      <c r="N7" s="4">
        <f>IFERROR(__xludf.DUMMYFUNCTION("""COMPUTED_VALUE"""),0.0)</f>
        <v>0</v>
      </c>
      <c r="O7" s="4">
        <f>IFERROR(__xludf.DUMMYFUNCTION("""COMPUTED_VALUE"""),4.5)</f>
        <v>4.5</v>
      </c>
      <c r="P7" s="4">
        <f>IFERROR(__xludf.DUMMYFUNCTION("""COMPUTED_VALUE"""),4.33)</f>
        <v>4.33</v>
      </c>
      <c r="Q7" s="4">
        <f>IFERROR(__xludf.DUMMYFUNCTION("""COMPUTED_VALUE"""),5.0)</f>
        <v>5</v>
      </c>
      <c r="R7" s="4">
        <f>IFERROR(__xludf.DUMMYFUNCTION("""COMPUTED_VALUE"""),5.0)</f>
        <v>5</v>
      </c>
      <c r="S7" s="4">
        <f>IFERROR(__xludf.DUMMYFUNCTION("""COMPUTED_VALUE"""),5.0)</f>
        <v>5</v>
      </c>
      <c r="T7" s="4"/>
      <c r="U7" s="6">
        <f>IFERROR(__xludf.DUMMYFUNCTION("""COMPUTED_VALUE"""),3.27)</f>
        <v>3.27</v>
      </c>
      <c r="V7" s="9">
        <f>IFERROR(__xludf.DUMMYFUNCTION("""COMPUTED_VALUE"""),1.09)</f>
        <v>1.09</v>
      </c>
      <c r="W7" s="4"/>
      <c r="X7" s="4"/>
      <c r="Y7" s="4">
        <f>IFERROR(__xludf.DUMMYFUNCTION("""COMPUTED_VALUE"""),4.6)</f>
        <v>4.6</v>
      </c>
      <c r="Z7" s="4"/>
      <c r="AA7" s="4">
        <f>IFERROR(__xludf.DUMMYFUNCTION("""COMPUTED_VALUE"""),2261224.0)</f>
        <v>2261224</v>
      </c>
      <c r="AB7" s="4"/>
      <c r="AC7" s="4"/>
      <c r="AD7" s="4"/>
      <c r="AE7" s="4"/>
      <c r="AF7" s="4"/>
      <c r="AG7" s="4"/>
      <c r="AH7" s="4"/>
      <c r="AI7" s="4"/>
      <c r="AJ7" s="4"/>
      <c r="AK7" s="4"/>
    </row>
    <row r="8">
      <c r="A8" s="4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4">
        <f>IFERROR(__xludf.DUMMYFUNCTION("""COMPUTED_VALUE"""),3.8)</f>
        <v>3.8</v>
      </c>
      <c r="D8" s="4">
        <f>IFERROR(__xludf.DUMMYFUNCTION("""COMPUTED_VALUE"""),3.9)</f>
        <v>3.9</v>
      </c>
      <c r="E8" s="4">
        <f>IFERROR(__xludf.DUMMYFUNCTION("""COMPUTED_VALUE"""),3.2)</f>
        <v>3.2</v>
      </c>
      <c r="F8" s="4"/>
      <c r="G8" s="4">
        <f>IFERROR(__xludf.DUMMYFUNCTION("""COMPUTED_VALUE"""),4.6)</f>
        <v>4.6</v>
      </c>
      <c r="H8" s="4"/>
      <c r="I8" s="4">
        <f>IFERROR(__xludf.DUMMYFUNCTION("""COMPUTED_VALUE"""),2.1)</f>
        <v>2.1</v>
      </c>
      <c r="J8" s="4">
        <f>IFERROR(__xludf.DUMMYFUNCTION("""COMPUTED_VALUE"""),2.0)</f>
        <v>2</v>
      </c>
      <c r="K8" s="4">
        <f>IFERROR(__xludf.DUMMYFUNCTION("""COMPUTED_VALUE"""),4.35)</f>
        <v>4.35</v>
      </c>
      <c r="L8" s="4">
        <f>IFERROR(__xludf.DUMMYFUNCTION("""COMPUTED_VALUE"""),4.1)</f>
        <v>4.1</v>
      </c>
      <c r="M8" s="4">
        <f>IFERROR(__xludf.DUMMYFUNCTION("""COMPUTED_VALUE"""),4.1)</f>
        <v>4.1</v>
      </c>
      <c r="N8" s="4">
        <f>IFERROR(__xludf.DUMMYFUNCTION("""COMPUTED_VALUE"""),4.6)</f>
        <v>4.6</v>
      </c>
      <c r="O8" s="4">
        <f>IFERROR(__xludf.DUMMYFUNCTION("""COMPUTED_VALUE"""),4.25)</f>
        <v>4.25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4">
        <f>IFERROR(__xludf.DUMMYFUNCTION("""COMPUTED_VALUE"""),5.0)</f>
        <v>5</v>
      </c>
      <c r="T8" s="4"/>
      <c r="U8" s="6">
        <f>IFERROR(__xludf.DUMMYFUNCTION("""COMPUTED_VALUE"""),3.03)</f>
        <v>3.03</v>
      </c>
      <c r="V8" s="9">
        <f>IFERROR(__xludf.DUMMYFUNCTION("""COMPUTED_VALUE"""),1.01)</f>
        <v>1.01</v>
      </c>
      <c r="W8" s="4"/>
      <c r="X8" s="4"/>
      <c r="Y8" s="4">
        <f>IFERROR(__xludf.DUMMYFUNCTION("""COMPUTED_VALUE"""),4.6)</f>
        <v>4.6</v>
      </c>
      <c r="Z8" s="4"/>
      <c r="AA8" s="4">
        <f>IFERROR(__xludf.DUMMYFUNCTION("""COMPUTED_VALUE"""),2262001.0)</f>
        <v>2262001</v>
      </c>
      <c r="AB8" s="4"/>
      <c r="AC8" s="4"/>
      <c r="AD8" s="4"/>
      <c r="AE8" s="4"/>
      <c r="AF8" s="4"/>
      <c r="AG8" s="4"/>
      <c r="AH8" s="4"/>
      <c r="AI8" s="4"/>
      <c r="AJ8" s="4"/>
      <c r="AK8" s="4"/>
    </row>
    <row r="9">
      <c r="A9" s="4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4">
        <f>IFERROR(__xludf.DUMMYFUNCTION("""COMPUTED_VALUE"""),2.5)</f>
        <v>2.5</v>
      </c>
      <c r="D9" s="4">
        <f>IFERROR(__xludf.DUMMYFUNCTION("""COMPUTED_VALUE"""),3.8)</f>
        <v>3.8</v>
      </c>
      <c r="E9" s="4">
        <f>IFERROR(__xludf.DUMMYFUNCTION("""COMPUTED_VALUE"""),1.9)</f>
        <v>1.9</v>
      </c>
      <c r="F9" s="4"/>
      <c r="G9" s="4">
        <f>IFERROR(__xludf.DUMMYFUNCTION("""COMPUTED_VALUE"""),4.5)</f>
        <v>4.5</v>
      </c>
      <c r="H9" s="4"/>
      <c r="I9" s="4">
        <f>IFERROR(__xludf.DUMMYFUNCTION("""COMPUTED_VALUE"""),2.1)</f>
        <v>2.1</v>
      </c>
      <c r="J9" s="4">
        <f>IFERROR(__xludf.DUMMYFUNCTION("""COMPUTED_VALUE"""),3.6)</f>
        <v>3.6</v>
      </c>
      <c r="K9" s="4">
        <f>IFERROR(__xludf.DUMMYFUNCTION("""COMPUTED_VALUE"""),4.8)</f>
        <v>4.8</v>
      </c>
      <c r="L9" s="4">
        <f>IFERROR(__xludf.DUMMYFUNCTION("""COMPUTED_VALUE"""),4.7)</f>
        <v>4.7</v>
      </c>
      <c r="M9" s="4">
        <f>IFERROR(__xludf.DUMMYFUNCTION("""COMPUTED_VALUE"""),0.0)</f>
        <v>0</v>
      </c>
      <c r="N9" s="4">
        <f>IFERROR(__xludf.DUMMYFUNCTION("""COMPUTED_VALUE"""),3.0)</f>
        <v>3</v>
      </c>
      <c r="O9" s="4">
        <f>IFERROR(__xludf.DUMMYFUNCTION("""COMPUTED_VALUE"""),3.5)</f>
        <v>3.5</v>
      </c>
      <c r="P9" s="4">
        <f>IFERROR(__xludf.DUMMYFUNCTION("""COMPUTED_VALUE"""),4.66)</f>
        <v>4.66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4">
        <f>IFERROR(__xludf.DUMMYFUNCTION("""COMPUTED_VALUE"""),5.0)</f>
        <v>5</v>
      </c>
      <c r="T9" s="4"/>
      <c r="U9" s="6">
        <f>IFERROR(__xludf.DUMMYFUNCTION("""COMPUTED_VALUE"""),2.4099999999999997)</f>
        <v>2.41</v>
      </c>
      <c r="V9" s="9">
        <f>IFERROR(__xludf.DUMMYFUNCTION("""COMPUTED_VALUE"""),0.8033333333333332)</f>
        <v>0.8033333333</v>
      </c>
      <c r="W9" s="4"/>
      <c r="X9" s="4"/>
      <c r="Y9" s="4">
        <f>IFERROR(__xludf.DUMMYFUNCTION("""COMPUTED_VALUE"""),4.5)</f>
        <v>4.5</v>
      </c>
      <c r="Z9" s="4"/>
      <c r="AA9" s="4">
        <f>IFERROR(__xludf.DUMMYFUNCTION("""COMPUTED_VALUE"""),2261874.0)</f>
        <v>2261874</v>
      </c>
      <c r="AB9" s="4"/>
      <c r="AC9" s="4"/>
      <c r="AD9" s="4"/>
      <c r="AE9" s="4"/>
      <c r="AF9" s="4"/>
      <c r="AG9" s="4"/>
      <c r="AH9" s="4"/>
      <c r="AI9" s="4"/>
      <c r="AJ9" s="4"/>
      <c r="AK9" s="4"/>
    </row>
    <row r="10">
      <c r="A10" s="4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4">
        <f>IFERROR(__xludf.DUMMYFUNCTION("""COMPUTED_VALUE"""),5.0)</f>
        <v>5</v>
      </c>
      <c r="D10" s="4">
        <f>IFERROR(__xludf.DUMMYFUNCTION("""COMPUTED_VALUE"""),4.5)</f>
        <v>4.5</v>
      </c>
      <c r="E10" s="4">
        <f>IFERROR(__xludf.DUMMYFUNCTION("""COMPUTED_VALUE"""),3.2)</f>
        <v>3.2</v>
      </c>
      <c r="F10" s="4"/>
      <c r="G10" s="4">
        <f>IFERROR(__xludf.DUMMYFUNCTION("""COMPUTED_VALUE"""),4.9)</f>
        <v>4.9</v>
      </c>
      <c r="H10" s="4"/>
      <c r="I10" s="4">
        <f>IFERROR(__xludf.DUMMYFUNCTION("""COMPUTED_VALUE"""),2.3)</f>
        <v>2.3</v>
      </c>
      <c r="J10" s="4">
        <f>IFERROR(__xludf.DUMMYFUNCTION("""COMPUTED_VALUE"""),5.0)</f>
        <v>5</v>
      </c>
      <c r="K10" s="4">
        <f>IFERROR(__xludf.DUMMYFUNCTION("""COMPUTED_VALUE"""),4.7)</f>
        <v>4.7</v>
      </c>
      <c r="L10" s="4">
        <f>IFERROR(__xludf.DUMMYFUNCTION("""COMPUTED_VALUE"""),5.0)</f>
        <v>5</v>
      </c>
      <c r="M10" s="4">
        <f>IFERROR(__xludf.DUMMYFUNCTION("""COMPUTED_VALUE"""),4.4)</f>
        <v>4.4</v>
      </c>
      <c r="N10" s="4">
        <f>IFERROR(__xludf.DUMMYFUNCTION("""COMPUTED_VALUE"""),4.5)</f>
        <v>4.5</v>
      </c>
      <c r="O10" s="4">
        <f>IFERROR(__xludf.DUMMYFUNCTION("""COMPUTED_VALUE"""),5.0)</f>
        <v>5</v>
      </c>
      <c r="P10" s="4">
        <f>IFERROR(__xludf.DUMMYFUNCTION("""COMPUTED_VALUE"""),4.67)</f>
        <v>4.67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4">
        <f>IFERROR(__xludf.DUMMYFUNCTION("""COMPUTED_VALUE"""),5.0)</f>
        <v>5</v>
      </c>
      <c r="T10" s="4"/>
      <c r="U10" s="6">
        <f>IFERROR(__xludf.DUMMYFUNCTION("""COMPUTED_VALUE"""),3.435)</f>
        <v>3.435</v>
      </c>
      <c r="V10" s="9">
        <f>IFERROR(__xludf.DUMMYFUNCTION("""COMPUTED_VALUE"""),1.145)</f>
        <v>1.145</v>
      </c>
      <c r="W10" s="4"/>
      <c r="X10" s="4"/>
      <c r="Y10" s="4">
        <f>IFERROR(__xludf.DUMMYFUNCTION("""COMPUTED_VALUE"""),4.9)</f>
        <v>4.9</v>
      </c>
      <c r="Z10" s="4"/>
      <c r="AA10" s="4">
        <f>IFERROR(__xludf.DUMMYFUNCTION("""COMPUTED_VALUE"""),2261914.0)</f>
        <v>2261914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>
      <c r="A11" s="4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4">
        <f>IFERROR(__xludf.DUMMYFUNCTION("""COMPUTED_VALUE"""),2.8)</f>
        <v>2.8</v>
      </c>
      <c r="D11" s="4">
        <f>IFERROR(__xludf.DUMMYFUNCTION("""COMPUTED_VALUE"""),3.9)</f>
        <v>3.9</v>
      </c>
      <c r="E11" s="4">
        <f>IFERROR(__xludf.DUMMYFUNCTION("""COMPUTED_VALUE"""),2.5)</f>
        <v>2.5</v>
      </c>
      <c r="F11" s="4"/>
      <c r="G11" s="4">
        <f>IFERROR(__xludf.DUMMYFUNCTION("""COMPUTED_VALUE"""),4.7)</f>
        <v>4.7</v>
      </c>
      <c r="H11" s="4"/>
      <c r="I11" s="4">
        <f>IFERROR(__xludf.DUMMYFUNCTION("""COMPUTED_VALUE"""),2.2)</f>
        <v>2.2</v>
      </c>
      <c r="J11" s="4">
        <f>IFERROR(__xludf.DUMMYFUNCTION("""COMPUTED_VALUE"""),3.6)</f>
        <v>3.6</v>
      </c>
      <c r="K11" s="4">
        <f>IFERROR(__xludf.DUMMYFUNCTION("""COMPUTED_VALUE"""),4.75)</f>
        <v>4.75</v>
      </c>
      <c r="L11" s="4">
        <f>IFERROR(__xludf.DUMMYFUNCTION("""COMPUTED_VALUE"""),4.4)</f>
        <v>4.4</v>
      </c>
      <c r="M11" s="4">
        <f>IFERROR(__xludf.DUMMYFUNCTION("""COMPUTED_VALUE"""),3.8)</f>
        <v>3.8</v>
      </c>
      <c r="N11" s="4">
        <f>IFERROR(__xludf.DUMMYFUNCTION("""COMPUTED_VALUE"""),4.6)</f>
        <v>4.6</v>
      </c>
      <c r="O11" s="4">
        <f>IFERROR(__xludf.DUMMYFUNCTION("""COMPUTED_VALUE"""),3.63)</f>
        <v>3.63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IFERROR(__xludf.DUMMYFUNCTION("""COMPUTED_VALUE"""),5.0)</f>
        <v>5</v>
      </c>
      <c r="S11" s="4">
        <f>IFERROR(__xludf.DUMMYFUNCTION("""COMPUTED_VALUE"""),5.0)</f>
        <v>5</v>
      </c>
      <c r="T11" s="4"/>
      <c r="U11" s="6">
        <f>IFERROR(__xludf.DUMMYFUNCTION("""COMPUTED_VALUE"""),2.67)</f>
        <v>2.67</v>
      </c>
      <c r="V11" s="9">
        <f>IFERROR(__xludf.DUMMYFUNCTION("""COMPUTED_VALUE"""),0.89)</f>
        <v>0.89</v>
      </c>
      <c r="W11" s="4"/>
      <c r="X11" s="4"/>
      <c r="Y11" s="4">
        <f>IFERROR(__xludf.DUMMYFUNCTION("""COMPUTED_VALUE"""),4.7)</f>
        <v>4.7</v>
      </c>
      <c r="Z11" s="4"/>
      <c r="AA11" s="4">
        <f>IFERROR(__xludf.DUMMYFUNCTION("""COMPUTED_VALUE"""),2262150.0)</f>
        <v>2262150</v>
      </c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>
      <c r="A12" s="4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4">
        <f>IFERROR(__xludf.DUMMYFUNCTION("""COMPUTED_VALUE"""),4.1)</f>
        <v>4.1</v>
      </c>
      <c r="D12" s="4">
        <f>IFERROR(__xludf.DUMMYFUNCTION("""COMPUTED_VALUE"""),5.0)</f>
        <v>5</v>
      </c>
      <c r="E12" s="4">
        <f>IFERROR(__xludf.DUMMYFUNCTION("""COMPUTED_VALUE"""),1.7)</f>
        <v>1.7</v>
      </c>
      <c r="F12" s="4"/>
      <c r="G12" s="4">
        <f>IFERROR(__xludf.DUMMYFUNCTION("""COMPUTED_VALUE"""),4.7)</f>
        <v>4.7</v>
      </c>
      <c r="H12" s="4"/>
      <c r="I12" s="4">
        <f>IFERROR(__xludf.DUMMYFUNCTION("""COMPUTED_VALUE"""),2.2)</f>
        <v>2.2</v>
      </c>
      <c r="J12" s="4">
        <f>IFERROR(__xludf.DUMMYFUNCTION("""COMPUTED_VALUE"""),3.6)</f>
        <v>3.6</v>
      </c>
      <c r="K12" s="4">
        <f>IFERROR(__xludf.DUMMYFUNCTION("""COMPUTED_VALUE"""),4.3)</f>
        <v>4.3</v>
      </c>
      <c r="L12" s="4">
        <f>IFERROR(__xludf.DUMMYFUNCTION("""COMPUTED_VALUE"""),4.7)</f>
        <v>4.7</v>
      </c>
      <c r="M12" s="4">
        <f>IFERROR(__xludf.DUMMYFUNCTION("""COMPUTED_VALUE"""),4.7)</f>
        <v>4.7</v>
      </c>
      <c r="N12" s="4">
        <f>IFERROR(__xludf.DUMMYFUNCTION("""COMPUTED_VALUE"""),4.5)</f>
        <v>4.5</v>
      </c>
      <c r="O12" s="4">
        <f>IFERROR(__xludf.DUMMYFUNCTION("""COMPUTED_VALUE"""),4.75)</f>
        <v>4.75</v>
      </c>
      <c r="P12" s="4">
        <f>IFERROR(__xludf.DUMMYFUNCTION("""COMPUTED_VALUE"""),4.65)</f>
        <v>4.65</v>
      </c>
      <c r="Q12" s="4">
        <f>IFERROR(__xludf.DUMMYFUNCTION("""COMPUTED_VALUE"""),4.0)</f>
        <v>4</v>
      </c>
      <c r="R12" s="4">
        <f>IFERROR(__xludf.DUMMYFUNCTION("""COMPUTED_VALUE"""),5.0)</f>
        <v>5</v>
      </c>
      <c r="S12" s="4">
        <f>IFERROR(__xludf.DUMMYFUNCTION("""COMPUTED_VALUE"""),5.0)</f>
        <v>5</v>
      </c>
      <c r="T12" s="4"/>
      <c r="U12" s="6">
        <f>IFERROR(__xludf.DUMMYFUNCTION("""COMPUTED_VALUE"""),2.95)</f>
        <v>2.95</v>
      </c>
      <c r="V12" s="9">
        <f>IFERROR(__xludf.DUMMYFUNCTION("""COMPUTED_VALUE"""),0.9833333333333334)</f>
        <v>0.9833333333</v>
      </c>
      <c r="W12" s="4"/>
      <c r="X12" s="4"/>
      <c r="Y12" s="4">
        <f>IFERROR(__xludf.DUMMYFUNCTION("""COMPUTED_VALUE"""),4.7)</f>
        <v>4.7</v>
      </c>
      <c r="Z12" s="4"/>
      <c r="AA12" s="4">
        <f>IFERROR(__xludf.DUMMYFUNCTION("""COMPUTED_VALUE"""),2260424.0)</f>
        <v>2260424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>
      <c r="A13" s="4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4">
        <f>IFERROR(__xludf.DUMMYFUNCTION("""COMPUTED_VALUE"""),4.9)</f>
        <v>4.9</v>
      </c>
      <c r="D13" s="4">
        <f>IFERROR(__xludf.DUMMYFUNCTION("""COMPUTED_VALUE"""),4.4)</f>
        <v>4.4</v>
      </c>
      <c r="E13" s="4">
        <f>IFERROR(__xludf.DUMMYFUNCTION("""COMPUTED_VALUE"""),2.8)</f>
        <v>2.8</v>
      </c>
      <c r="F13" s="4"/>
      <c r="G13" s="4">
        <f>IFERROR(__xludf.DUMMYFUNCTION("""COMPUTED_VALUE"""),4.9)</f>
        <v>4.9</v>
      </c>
      <c r="H13" s="4"/>
      <c r="I13" s="4">
        <f>IFERROR(__xludf.DUMMYFUNCTION("""COMPUTED_VALUE"""),2.3)</f>
        <v>2.3</v>
      </c>
      <c r="J13" s="4">
        <f>IFERROR(__xludf.DUMMYFUNCTION("""COMPUTED_VALUE"""),5.0)</f>
        <v>5</v>
      </c>
      <c r="K13" s="4">
        <f>IFERROR(__xludf.DUMMYFUNCTION("""COMPUTED_VALUE"""),4.4)</f>
        <v>4.4</v>
      </c>
      <c r="L13" s="4">
        <f>IFERROR(__xludf.DUMMYFUNCTION("""COMPUTED_VALUE"""),5.0)</f>
        <v>5</v>
      </c>
      <c r="M13" s="4">
        <f>IFERROR(__xludf.DUMMYFUNCTION("""COMPUTED_VALUE"""),0.0)</f>
        <v>0</v>
      </c>
      <c r="N13" s="4">
        <f>IFERROR(__xludf.DUMMYFUNCTION("""COMPUTED_VALUE"""),4.8)</f>
        <v>4.8</v>
      </c>
      <c r="O13" s="4">
        <f>IFERROR(__xludf.DUMMYFUNCTION("""COMPUTED_VALUE"""),5.0)</f>
        <v>5</v>
      </c>
      <c r="P13" s="4">
        <f>IFERROR(__xludf.DUMMYFUNCTION("""COMPUTED_VALUE"""),4.34)</f>
        <v>4.34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4">
        <f>IFERROR(__xludf.DUMMYFUNCTION("""COMPUTED_VALUE"""),5.0)</f>
        <v>5</v>
      </c>
      <c r="T13" s="4"/>
      <c r="U13" s="6">
        <f>IFERROR(__xludf.DUMMYFUNCTION("""COMPUTED_VALUE"""),3.2950000000000004)</f>
        <v>3.295</v>
      </c>
      <c r="V13" s="9">
        <f>IFERROR(__xludf.DUMMYFUNCTION("""COMPUTED_VALUE"""),1.0983333333333334)</f>
        <v>1.098333333</v>
      </c>
      <c r="W13" s="4"/>
      <c r="X13" s="4"/>
      <c r="Y13" s="4">
        <f>IFERROR(__xludf.DUMMYFUNCTION("""COMPUTED_VALUE"""),4.9)</f>
        <v>4.9</v>
      </c>
      <c r="Z13" s="4"/>
      <c r="AA13" s="4">
        <f>IFERROR(__xludf.DUMMYFUNCTION("""COMPUTED_VALUE"""),2262136.0)</f>
        <v>2262136</v>
      </c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>
      <c r="A14" s="4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4">
        <f>IFERROR(__xludf.DUMMYFUNCTION("""COMPUTED_VALUE"""),2.7)</f>
        <v>2.7</v>
      </c>
      <c r="D14" s="4">
        <f>IFERROR(__xludf.DUMMYFUNCTION("""COMPUTED_VALUE"""),3.7)</f>
        <v>3.7</v>
      </c>
      <c r="E14" s="4">
        <f>IFERROR(__xludf.DUMMYFUNCTION("""COMPUTED_VALUE"""),1.3)</f>
        <v>1.3</v>
      </c>
      <c r="F14" s="4"/>
      <c r="G14" s="4">
        <f>IFERROR(__xludf.DUMMYFUNCTION("""COMPUTED_VALUE"""),3.2)</f>
        <v>3.2</v>
      </c>
      <c r="H14" s="4"/>
      <c r="I14" s="4">
        <f>IFERROR(__xludf.DUMMYFUNCTION("""COMPUTED_VALUE"""),1.5)</f>
        <v>1.5</v>
      </c>
      <c r="J14" s="4">
        <f>IFERROR(__xludf.DUMMYFUNCTION("""COMPUTED_VALUE"""),3.6)</f>
        <v>3.6</v>
      </c>
      <c r="K14" s="4">
        <f>IFERROR(__xludf.DUMMYFUNCTION("""COMPUTED_VALUE"""),0.0)</f>
        <v>0</v>
      </c>
      <c r="L14" s="4">
        <f>IFERROR(__xludf.DUMMYFUNCTION("""COMPUTED_VALUE"""),0.0)</f>
        <v>0</v>
      </c>
      <c r="M14" s="4">
        <f>IFERROR(__xludf.DUMMYFUNCTION("""COMPUTED_VALUE"""),0.0)</f>
        <v>0</v>
      </c>
      <c r="N14" s="4">
        <f>IFERROR(__xludf.DUMMYFUNCTION("""COMPUTED_VALUE"""),4.6)</f>
        <v>4.6</v>
      </c>
      <c r="O14" s="4">
        <f>IFERROR(__xludf.DUMMYFUNCTION("""COMPUTED_VALUE"""),4.5)</f>
        <v>4.5</v>
      </c>
      <c r="P14" s="4">
        <f>IFERROR(__xludf.DUMMYFUNCTION("""COMPUTED_VALUE"""),4.67)</f>
        <v>4.67</v>
      </c>
      <c r="Q14" s="4">
        <f>IFERROR(__xludf.DUMMYFUNCTION("""COMPUTED_VALUE"""),0.0)</f>
        <v>0</v>
      </c>
      <c r="R14" s="4">
        <f>IFERROR(__xludf.DUMMYFUNCTION("""COMPUTED_VALUE"""),5.0)</f>
        <v>5</v>
      </c>
      <c r="S14" s="4">
        <f>IFERROR(__xludf.DUMMYFUNCTION("""COMPUTED_VALUE"""),5.0)</f>
        <v>5</v>
      </c>
      <c r="T14" s="4"/>
      <c r="U14" s="6">
        <f>IFERROR(__xludf.DUMMYFUNCTION("""COMPUTED_VALUE"""),2.085)</f>
        <v>2.085</v>
      </c>
      <c r="V14" s="9">
        <f>IFERROR(__xludf.DUMMYFUNCTION("""COMPUTED_VALUE"""),0.695)</f>
        <v>0.695</v>
      </c>
      <c r="W14" s="4"/>
      <c r="X14" s="4"/>
      <c r="Y14" s="4">
        <f>IFERROR(__xludf.DUMMYFUNCTION("""COMPUTED_VALUE"""),3.2)</f>
        <v>3.2</v>
      </c>
      <c r="Z14" s="4"/>
      <c r="AA14" s="4">
        <f>IFERROR(__xludf.DUMMYFUNCTION("""COMPUTED_VALUE"""),2261756.0)</f>
        <v>2261756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>
      <c r="A15" s="4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4"/>
      <c r="D15" s="4">
        <f>IFERROR(__xludf.DUMMYFUNCTION("""COMPUTED_VALUE"""),0.0)</f>
        <v>0</v>
      </c>
      <c r="E15" s="4"/>
      <c r="F15" s="4"/>
      <c r="G15" s="4"/>
      <c r="H15" s="4"/>
      <c r="I15" s="4"/>
      <c r="J15" s="4">
        <f>IFERROR(__xludf.DUMMYFUNCTION("""COMPUTED_VALUE"""),5.0)</f>
        <v>5</v>
      </c>
      <c r="K15" s="4">
        <f>IFERROR(__xludf.DUMMYFUNCTION("""COMPUTED_VALUE"""),0.0)</f>
        <v>0</v>
      </c>
      <c r="L15" s="4">
        <f>IFERROR(__xludf.DUMMYFUNCTION("""COMPUTED_VALUE"""),0.0)</f>
        <v>0</v>
      </c>
      <c r="M15" s="4">
        <f>IFERROR(__xludf.DUMMYFUNCTION("""COMPUTED_VALUE"""),0.0)</f>
        <v>0</v>
      </c>
      <c r="N15" s="4"/>
      <c r="O15" s="4">
        <f>IFERROR(__xludf.DUMMYFUNCTION("""COMPUTED_VALUE"""),0.0)</f>
        <v>0</v>
      </c>
      <c r="P15" s="4">
        <f>IFERROR(__xludf.DUMMYFUNCTION("""COMPUTED_VALUE"""),0.0)</f>
        <v>0</v>
      </c>
      <c r="Q15" s="4"/>
      <c r="R15" s="4"/>
      <c r="S15" s="4"/>
      <c r="T15" s="4"/>
      <c r="U15" s="6">
        <f>IFERROR(__xludf.DUMMYFUNCTION("""COMPUTED_VALUE"""),0.0)</f>
        <v>0</v>
      </c>
      <c r="V15" s="9">
        <f>IFERROR(__xludf.DUMMYFUNCTION("""COMPUTED_VALUE"""),0.0)</f>
        <v>0</v>
      </c>
      <c r="W15" s="4"/>
      <c r="X15" s="4"/>
      <c r="Y15" s="4"/>
      <c r="Z15" s="4"/>
      <c r="AA15" s="4">
        <f>IFERROR(__xludf.DUMMYFUNCTION("""COMPUTED_VALUE"""),2261849.0)</f>
        <v>2261849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>
      <c r="A16" s="4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4">
        <f>IFERROR(__xludf.DUMMYFUNCTION("""COMPUTED_VALUE"""),3.9)</f>
        <v>3.9</v>
      </c>
      <c r="D16" s="4">
        <f>IFERROR(__xludf.DUMMYFUNCTION("""COMPUTED_VALUE"""),1.4)</f>
        <v>1.4</v>
      </c>
      <c r="E16" s="4">
        <f>IFERROR(__xludf.DUMMYFUNCTION("""COMPUTED_VALUE"""),2.9)</f>
        <v>2.9</v>
      </c>
      <c r="F16" s="4"/>
      <c r="G16" s="4">
        <f>IFERROR(__xludf.DUMMYFUNCTION("""COMPUTED_VALUE"""),4.3)</f>
        <v>4.3</v>
      </c>
      <c r="H16" s="4"/>
      <c r="I16" s="4">
        <f>IFERROR(__xludf.DUMMYFUNCTION("""COMPUTED_VALUE"""),2.0)</f>
        <v>2</v>
      </c>
      <c r="J16" s="4">
        <f>IFERROR(__xludf.DUMMYFUNCTION("""COMPUTED_VALUE"""),2.0)</f>
        <v>2</v>
      </c>
      <c r="K16" s="4">
        <f>IFERROR(__xludf.DUMMYFUNCTION("""COMPUTED_VALUE"""),4.25)</f>
        <v>4.25</v>
      </c>
      <c r="L16" s="4">
        <f>IFERROR(__xludf.DUMMYFUNCTION("""COMPUTED_VALUE"""),4.7)</f>
        <v>4.7</v>
      </c>
      <c r="M16" s="4">
        <f>IFERROR(__xludf.DUMMYFUNCTION("""COMPUTED_VALUE"""),0.0)</f>
        <v>0</v>
      </c>
      <c r="N16" s="4">
        <f>IFERROR(__xludf.DUMMYFUNCTION("""COMPUTED_VALUE"""),1.5)</f>
        <v>1.5</v>
      </c>
      <c r="O16" s="4">
        <f>IFERROR(__xludf.DUMMYFUNCTION("""COMPUTED_VALUE"""),4.38)</f>
        <v>4.38</v>
      </c>
      <c r="P16" s="4">
        <f>IFERROR(__xludf.DUMMYFUNCTION("""COMPUTED_VALUE"""),5.0)</f>
        <v>5</v>
      </c>
      <c r="Q16" s="4">
        <f>IFERROR(__xludf.DUMMYFUNCTION("""COMPUTED_VALUE"""),5.0)</f>
        <v>5</v>
      </c>
      <c r="R16" s="4">
        <f>IFERROR(__xludf.DUMMYFUNCTION("""COMPUTED_VALUE"""),5.0)</f>
        <v>5</v>
      </c>
      <c r="S16" s="4">
        <f>IFERROR(__xludf.DUMMYFUNCTION("""COMPUTED_VALUE"""),5.0)</f>
        <v>5</v>
      </c>
      <c r="T16" s="4"/>
      <c r="U16" s="6">
        <f>IFERROR(__xludf.DUMMYFUNCTION("""COMPUTED_VALUE"""),2.43)</f>
        <v>2.43</v>
      </c>
      <c r="V16" s="9">
        <f>IFERROR(__xludf.DUMMYFUNCTION("""COMPUTED_VALUE"""),0.81)</f>
        <v>0.81</v>
      </c>
      <c r="W16" s="4"/>
      <c r="X16" s="4"/>
      <c r="Y16" s="4">
        <f>IFERROR(__xludf.DUMMYFUNCTION("""COMPUTED_VALUE"""),4.3)</f>
        <v>4.3</v>
      </c>
      <c r="Z16" s="4"/>
      <c r="AA16" s="4">
        <f>IFERROR(__xludf.DUMMYFUNCTION("""COMPUTED_VALUE"""),2262090.0)</f>
        <v>2262090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>
      <c r="A17" s="4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4">
        <f>IFERROR(__xludf.DUMMYFUNCTION("""COMPUTED_VALUE"""),1.8)</f>
        <v>1.8</v>
      </c>
      <c r="D17" s="4">
        <f>IFERROR(__xludf.DUMMYFUNCTION("""COMPUTED_VALUE"""),4.2)</f>
        <v>4.2</v>
      </c>
      <c r="E17" s="4">
        <f>IFERROR(__xludf.DUMMYFUNCTION("""COMPUTED_VALUE"""),2.8)</f>
        <v>2.8</v>
      </c>
      <c r="F17" s="4"/>
      <c r="G17" s="4">
        <f>IFERROR(__xludf.DUMMYFUNCTION("""COMPUTED_VALUE"""),4.5)</f>
        <v>4.5</v>
      </c>
      <c r="H17" s="4"/>
      <c r="I17" s="4">
        <f>IFERROR(__xludf.DUMMYFUNCTION("""COMPUTED_VALUE"""),2.1)</f>
        <v>2.1</v>
      </c>
      <c r="J17" s="4">
        <f>IFERROR(__xludf.DUMMYFUNCTION("""COMPUTED_VALUE"""),3.6)</f>
        <v>3.6</v>
      </c>
      <c r="K17" s="4">
        <f>IFERROR(__xludf.DUMMYFUNCTION("""COMPUTED_VALUE"""),4.8)</f>
        <v>4.8</v>
      </c>
      <c r="L17" s="4">
        <f>IFERROR(__xludf.DUMMYFUNCTION("""COMPUTED_VALUE"""),4.7)</f>
        <v>4.7</v>
      </c>
      <c r="M17" s="4">
        <f>IFERROR(__xludf.DUMMYFUNCTION("""COMPUTED_VALUE"""),0.0)</f>
        <v>0</v>
      </c>
      <c r="N17" s="4">
        <f>IFERROR(__xludf.DUMMYFUNCTION("""COMPUTED_VALUE"""),1.0)</f>
        <v>1</v>
      </c>
      <c r="O17" s="4">
        <f>IFERROR(__xludf.DUMMYFUNCTION("""COMPUTED_VALUE"""),3.25)</f>
        <v>3.25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4">
        <f>IFERROR(__xludf.DUMMYFUNCTION("""COMPUTED_VALUE"""),5.0)</f>
        <v>5</v>
      </c>
      <c r="T17" s="4"/>
      <c r="U17" s="6">
        <f>IFERROR(__xludf.DUMMYFUNCTION("""COMPUTED_VALUE"""),2.575)</f>
        <v>2.575</v>
      </c>
      <c r="V17" s="9">
        <f>IFERROR(__xludf.DUMMYFUNCTION("""COMPUTED_VALUE"""),0.8583333333333334)</f>
        <v>0.8583333333</v>
      </c>
      <c r="W17" s="4"/>
      <c r="X17" s="4"/>
      <c r="Y17" s="4">
        <f>IFERROR(__xludf.DUMMYFUNCTION("""COMPUTED_VALUE"""),4.5)</f>
        <v>4.5</v>
      </c>
      <c r="Z17" s="4"/>
      <c r="AA17" s="4">
        <f>IFERROR(__xludf.DUMMYFUNCTION("""COMPUTED_VALUE"""),2262094.0)</f>
        <v>2262094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>
      <c r="A18" s="4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4">
        <f>IFERROR(__xludf.DUMMYFUNCTION("""COMPUTED_VALUE"""),2.6)</f>
        <v>2.6</v>
      </c>
      <c r="D18" s="4">
        <f>IFERROR(__xludf.DUMMYFUNCTION("""COMPUTED_VALUE"""),1.5)</f>
        <v>1.5</v>
      </c>
      <c r="E18" s="4">
        <f>IFERROR(__xludf.DUMMYFUNCTION("""COMPUTED_VALUE"""),2.5)</f>
        <v>2.5</v>
      </c>
      <c r="F18" s="4"/>
      <c r="G18" s="4">
        <f>IFERROR(__xludf.DUMMYFUNCTION("""COMPUTED_VALUE"""),2.2)</f>
        <v>2.2</v>
      </c>
      <c r="H18" s="4"/>
      <c r="I18" s="4">
        <f>IFERROR(__xludf.DUMMYFUNCTION("""COMPUTED_VALUE"""),1.0)</f>
        <v>1</v>
      </c>
      <c r="J18" s="4">
        <f>IFERROR(__xludf.DUMMYFUNCTION("""COMPUTED_VALUE"""),3.6)</f>
        <v>3.6</v>
      </c>
      <c r="K18" s="4">
        <f>IFERROR(__xludf.DUMMYFUNCTION("""COMPUTED_VALUE"""),0.0)</f>
        <v>0</v>
      </c>
      <c r="L18" s="4">
        <f>IFERROR(__xludf.DUMMYFUNCTION("""COMPUTED_VALUE"""),0.0)</f>
        <v>0</v>
      </c>
      <c r="M18" s="4">
        <f>IFERROR(__xludf.DUMMYFUNCTION("""COMPUTED_VALUE"""),0.0)</f>
        <v>0</v>
      </c>
      <c r="N18" s="4">
        <f>IFERROR(__xludf.DUMMYFUNCTION("""COMPUTED_VALUE"""),1.8)</f>
        <v>1.8</v>
      </c>
      <c r="O18" s="4">
        <f>IFERROR(__xludf.DUMMYFUNCTION("""COMPUTED_VALUE"""),0.0)</f>
        <v>0</v>
      </c>
      <c r="P18" s="4">
        <f>IFERROR(__xludf.DUMMYFUNCTION("""COMPUTED_VALUE"""),0.0)</f>
        <v>0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4">
        <f>IFERROR(__xludf.DUMMYFUNCTION("""COMPUTED_VALUE"""),0.0)</f>
        <v>0</v>
      </c>
      <c r="T18" s="4"/>
      <c r="U18" s="6">
        <f>IFERROR(__xludf.DUMMYFUNCTION("""COMPUTED_VALUE"""),1.775)</f>
        <v>1.775</v>
      </c>
      <c r="V18" s="9">
        <f>IFERROR(__xludf.DUMMYFUNCTION("""COMPUTED_VALUE"""),0.5916666666666667)</f>
        <v>0.5916666667</v>
      </c>
      <c r="W18" s="4"/>
      <c r="X18" s="4"/>
      <c r="Y18" s="4">
        <f>IFERROR(__xludf.DUMMYFUNCTION("""COMPUTED_VALUE"""),2.2)</f>
        <v>2.2</v>
      </c>
      <c r="Z18" s="4"/>
      <c r="AA18" s="4">
        <f>IFERROR(__xludf.DUMMYFUNCTION("""COMPUTED_VALUE"""),2261863.0)</f>
        <v>2261863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>
      <c r="A19" s="4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4">
        <f>IFERROR(__xludf.DUMMYFUNCTION("""COMPUTED_VALUE"""),3.0)</f>
        <v>3</v>
      </c>
      <c r="D19" s="4">
        <f>IFERROR(__xludf.DUMMYFUNCTION("""COMPUTED_VALUE"""),3.8)</f>
        <v>3.8</v>
      </c>
      <c r="E19" s="4">
        <f>IFERROR(__xludf.DUMMYFUNCTION("""COMPUTED_VALUE"""),2.6)</f>
        <v>2.6</v>
      </c>
      <c r="F19" s="4"/>
      <c r="G19" s="4">
        <f>IFERROR(__xludf.DUMMYFUNCTION("""COMPUTED_VALUE"""),4.8)</f>
        <v>4.8</v>
      </c>
      <c r="H19" s="4"/>
      <c r="I19" s="4">
        <f>IFERROR(__xludf.DUMMYFUNCTION("""COMPUTED_VALUE"""),2.2)</f>
        <v>2.2</v>
      </c>
      <c r="J19" s="4">
        <f>IFERROR(__xludf.DUMMYFUNCTION("""COMPUTED_VALUE"""),3.6)</f>
        <v>3.6</v>
      </c>
      <c r="K19" s="4">
        <f>IFERROR(__xludf.DUMMYFUNCTION("""COMPUTED_VALUE"""),4.8)</f>
        <v>4.8</v>
      </c>
      <c r="L19" s="4">
        <f>IFERROR(__xludf.DUMMYFUNCTION("""COMPUTED_VALUE"""),5.0)</f>
        <v>5</v>
      </c>
      <c r="M19" s="4">
        <f>IFERROR(__xludf.DUMMYFUNCTION("""COMPUTED_VALUE"""),4.4)</f>
        <v>4.4</v>
      </c>
      <c r="N19" s="4">
        <f>IFERROR(__xludf.DUMMYFUNCTION("""COMPUTED_VALUE"""),3.0)</f>
        <v>3</v>
      </c>
      <c r="O19" s="4">
        <f>IFERROR(__xludf.DUMMYFUNCTION("""COMPUTED_VALUE"""),4.63)</f>
        <v>4.63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4">
        <f>IFERROR(__xludf.DUMMYFUNCTION("""COMPUTED_VALUE"""),5.0)</f>
        <v>5</v>
      </c>
      <c r="T19" s="4"/>
      <c r="U19" s="6">
        <f>IFERROR(__xludf.DUMMYFUNCTION("""COMPUTED_VALUE"""),2.7300000000000004)</f>
        <v>2.73</v>
      </c>
      <c r="V19" s="9">
        <f>IFERROR(__xludf.DUMMYFUNCTION("""COMPUTED_VALUE"""),0.9100000000000001)</f>
        <v>0.91</v>
      </c>
      <c r="W19" s="4"/>
      <c r="X19" s="4"/>
      <c r="Y19" s="4">
        <f>IFERROR(__xludf.DUMMYFUNCTION("""COMPUTED_VALUE"""),4.8)</f>
        <v>4.8</v>
      </c>
      <c r="Z19" s="4"/>
      <c r="AA19" s="4">
        <f>IFERROR(__xludf.DUMMYFUNCTION("""COMPUTED_VALUE"""),2262075.0)</f>
        <v>2262075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>
      <c r="A20" s="4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4">
        <f>IFERROR(__xludf.DUMMYFUNCTION("""COMPUTED_VALUE"""),5.0)</f>
        <v>5</v>
      </c>
      <c r="D20" s="4">
        <f>IFERROR(__xludf.DUMMYFUNCTION("""COMPUTED_VALUE"""),4.7)</f>
        <v>4.7</v>
      </c>
      <c r="E20" s="4">
        <f>IFERROR(__xludf.DUMMYFUNCTION("""COMPUTED_VALUE"""),3.8)</f>
        <v>3.8</v>
      </c>
      <c r="F20" s="4"/>
      <c r="G20" s="4">
        <f>IFERROR(__xludf.DUMMYFUNCTION("""COMPUTED_VALUE"""),4.9)</f>
        <v>4.9</v>
      </c>
      <c r="H20" s="4"/>
      <c r="I20" s="4">
        <f>IFERROR(__xludf.DUMMYFUNCTION("""COMPUTED_VALUE"""),2.3)</f>
        <v>2.3</v>
      </c>
      <c r="J20" s="4">
        <f>IFERROR(__xludf.DUMMYFUNCTION("""COMPUTED_VALUE"""),5.0)</f>
        <v>5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IFERROR(__xludf.DUMMYFUNCTION("""COMPUTED_VALUE"""),4.7)</f>
        <v>4.7</v>
      </c>
      <c r="N20" s="4">
        <f>IFERROR(__xludf.DUMMYFUNCTION("""COMPUTED_VALUE"""),4.6)</f>
        <v>4.6</v>
      </c>
      <c r="O20" s="4">
        <f>IFERROR(__xludf.DUMMYFUNCTION("""COMPUTED_VALUE"""),4.5)</f>
        <v>4.5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4">
        <f>IFERROR(__xludf.DUMMYFUNCTION("""COMPUTED_VALUE"""),0.0)</f>
        <v>0</v>
      </c>
      <c r="T20" s="4"/>
      <c r="U20" s="6">
        <f>IFERROR(__xludf.DUMMYFUNCTION("""COMPUTED_VALUE"""),3.6249999999999996)</f>
        <v>3.625</v>
      </c>
      <c r="V20" s="9">
        <f>IFERROR(__xludf.DUMMYFUNCTION("""COMPUTED_VALUE"""),1.2083333333333333)</f>
        <v>1.208333333</v>
      </c>
      <c r="W20" s="4"/>
      <c r="X20" s="4"/>
      <c r="Y20" s="4">
        <f>IFERROR(__xludf.DUMMYFUNCTION("""COMPUTED_VALUE"""),4.9)</f>
        <v>4.9</v>
      </c>
      <c r="Z20" s="4"/>
      <c r="AA20" s="4">
        <f>IFERROR(__xludf.DUMMYFUNCTION("""COMPUTED_VALUE"""),2260425.0)</f>
        <v>2260425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>
      <c r="A21" s="4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4">
        <f>IFERROR(__xludf.DUMMYFUNCTION("""COMPUTED_VALUE"""),4.0)</f>
        <v>4</v>
      </c>
      <c r="D21" s="4">
        <f>IFERROR(__xludf.DUMMYFUNCTION("""COMPUTED_VALUE"""),3.0)</f>
        <v>3</v>
      </c>
      <c r="E21" s="4">
        <f>IFERROR(__xludf.DUMMYFUNCTION("""COMPUTED_VALUE"""),2.9)</f>
        <v>2.9</v>
      </c>
      <c r="F21" s="4"/>
      <c r="G21" s="4">
        <f>IFERROR(__xludf.DUMMYFUNCTION("""COMPUTED_VALUE"""),4.8)</f>
        <v>4.8</v>
      </c>
      <c r="H21" s="4"/>
      <c r="I21" s="4">
        <f>IFERROR(__xludf.DUMMYFUNCTION("""COMPUTED_VALUE"""),2.2)</f>
        <v>2.2</v>
      </c>
      <c r="J21" s="4">
        <f>IFERROR(__xludf.DUMMYFUNCTION("""COMPUTED_VALUE"""),3.6)</f>
        <v>3.6</v>
      </c>
      <c r="K21" s="4">
        <f>IFERROR(__xludf.DUMMYFUNCTION("""COMPUTED_VALUE"""),4.6)</f>
        <v>4.6</v>
      </c>
      <c r="L21" s="4">
        <f>IFERROR(__xludf.DUMMYFUNCTION("""COMPUTED_VALUE"""),4.7)</f>
        <v>4.7</v>
      </c>
      <c r="M21" s="4">
        <f>IFERROR(__xludf.DUMMYFUNCTION("""COMPUTED_VALUE"""),4.1)</f>
        <v>4.1</v>
      </c>
      <c r="N21" s="4">
        <f>IFERROR(__xludf.DUMMYFUNCTION("""COMPUTED_VALUE"""),4.8)</f>
        <v>4.8</v>
      </c>
      <c r="O21" s="4">
        <f>IFERROR(__xludf.DUMMYFUNCTION("""COMPUTED_VALUE"""),4.5)</f>
        <v>4.5</v>
      </c>
      <c r="P21" s="4">
        <f>IFERROR(__xludf.DUMMYFUNCTION("""COMPUTED_VALUE"""),5.0)</f>
        <v>5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4">
        <f>IFERROR(__xludf.DUMMYFUNCTION("""COMPUTED_VALUE"""),5.0)</f>
        <v>5</v>
      </c>
      <c r="T21" s="4"/>
      <c r="U21" s="6">
        <f>IFERROR(__xludf.DUMMYFUNCTION("""COMPUTED_VALUE"""),2.8449999999999998)</f>
        <v>2.845</v>
      </c>
      <c r="V21" s="9">
        <f>IFERROR(__xludf.DUMMYFUNCTION("""COMPUTED_VALUE"""),0.9483333333333333)</f>
        <v>0.9483333333</v>
      </c>
      <c r="W21" s="4"/>
      <c r="X21" s="4"/>
      <c r="Y21" s="4">
        <f>IFERROR(__xludf.DUMMYFUNCTION("""COMPUTED_VALUE"""),4.8)</f>
        <v>4.8</v>
      </c>
      <c r="Z21" s="4"/>
      <c r="AA21" s="4">
        <f>IFERROR(__xludf.DUMMYFUNCTION("""COMPUTED_VALUE"""),2261219.0)</f>
        <v>2261219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>
      <c r="A22" s="4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4">
        <f>IFERROR(__xludf.DUMMYFUNCTION("""COMPUTED_VALUE"""),4.1)</f>
        <v>4.1</v>
      </c>
      <c r="D22" s="4">
        <f>IFERROR(__xludf.DUMMYFUNCTION("""COMPUTED_VALUE"""),5.0)</f>
        <v>5</v>
      </c>
      <c r="E22" s="4">
        <f>IFERROR(__xludf.DUMMYFUNCTION("""COMPUTED_VALUE"""),2.4)</f>
        <v>2.4</v>
      </c>
      <c r="F22" s="4"/>
      <c r="G22" s="4">
        <f>IFERROR(__xludf.DUMMYFUNCTION("""COMPUTED_VALUE"""),5.0)</f>
        <v>5</v>
      </c>
      <c r="H22" s="4"/>
      <c r="I22" s="4">
        <f>IFERROR(__xludf.DUMMYFUNCTION("""COMPUTED_VALUE"""),2.3)</f>
        <v>2.3</v>
      </c>
      <c r="J22" s="4">
        <f>IFERROR(__xludf.DUMMYFUNCTION("""COMPUTED_VALUE"""),3.6)</f>
        <v>3.6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IFERROR(__xludf.DUMMYFUNCTION("""COMPUTED_VALUE"""),3.0)</f>
        <v>3</v>
      </c>
      <c r="O22" s="4">
        <f>IFERROR(__xludf.DUMMYFUNCTION("""COMPUTED_VALUE"""),5.0)</f>
        <v>5</v>
      </c>
      <c r="P22" s="4">
        <f>IFERROR(__xludf.DUMMYFUNCTION("""COMPUTED_VALUE"""),4.65)</f>
        <v>4.65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4">
        <f>IFERROR(__xludf.DUMMYFUNCTION("""COMPUTED_VALUE"""),5.0)</f>
        <v>5</v>
      </c>
      <c r="T22" s="4"/>
      <c r="U22" s="6">
        <f>IFERROR(__xludf.DUMMYFUNCTION("""COMPUTED_VALUE"""),3.17)</f>
        <v>3.17</v>
      </c>
      <c r="V22" s="9">
        <f>IFERROR(__xludf.DUMMYFUNCTION("""COMPUTED_VALUE"""),1.0566666666666666)</f>
        <v>1.056666667</v>
      </c>
      <c r="W22" s="4"/>
      <c r="X22" s="4"/>
      <c r="Y22" s="4">
        <f>IFERROR(__xludf.DUMMYFUNCTION("""COMPUTED_VALUE"""),5.0)</f>
        <v>5</v>
      </c>
      <c r="Z22" s="4"/>
      <c r="AA22" s="4">
        <f>IFERROR(__xludf.DUMMYFUNCTION("""COMPUTED_VALUE"""),2261864.0)</f>
        <v>2261864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>
      <c r="A23" s="4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4">
        <f>IFERROR(__xludf.DUMMYFUNCTION("""COMPUTED_VALUE"""),3.5)</f>
        <v>3.5</v>
      </c>
      <c r="D23" s="4">
        <f>IFERROR(__xludf.DUMMYFUNCTION("""COMPUTED_VALUE"""),5.0)</f>
        <v>5</v>
      </c>
      <c r="E23" s="4">
        <f>IFERROR(__xludf.DUMMYFUNCTION("""COMPUTED_VALUE"""),3.3)</f>
        <v>3.3</v>
      </c>
      <c r="F23" s="4"/>
      <c r="G23" s="4">
        <f>IFERROR(__xludf.DUMMYFUNCTION("""COMPUTED_VALUE"""),4.9)</f>
        <v>4.9</v>
      </c>
      <c r="H23" s="4"/>
      <c r="I23" s="4">
        <f>IFERROR(__xludf.DUMMYFUNCTION("""COMPUTED_VALUE"""),2.3)</f>
        <v>2.3</v>
      </c>
      <c r="J23" s="4">
        <f>IFERROR(__xludf.DUMMYFUNCTION("""COMPUTED_VALUE"""),5.0)</f>
        <v>5</v>
      </c>
      <c r="K23" s="4">
        <f>IFERROR(__xludf.DUMMYFUNCTION("""COMPUTED_VALUE"""),4.75)</f>
        <v>4.75</v>
      </c>
      <c r="L23" s="4">
        <f>IFERROR(__xludf.DUMMYFUNCTION("""COMPUTED_VALUE"""),5.0)</f>
        <v>5</v>
      </c>
      <c r="M23" s="4">
        <f>IFERROR(__xludf.DUMMYFUNCTION("""COMPUTED_VALUE"""),4.1)</f>
        <v>4.1</v>
      </c>
      <c r="N23" s="4">
        <f>IFERROR(__xludf.DUMMYFUNCTION("""COMPUTED_VALUE"""),4.6)</f>
        <v>4.6</v>
      </c>
      <c r="O23" s="4">
        <f>IFERROR(__xludf.DUMMYFUNCTION("""COMPUTED_VALUE"""),4.88)</f>
        <v>4.88</v>
      </c>
      <c r="P23" s="4">
        <f>IFERROR(__xludf.DUMMYFUNCTION("""COMPUTED_VALUE"""),4.66)</f>
        <v>4.66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4">
        <f>IFERROR(__xludf.DUMMYFUNCTION("""COMPUTED_VALUE"""),5.0)</f>
        <v>5</v>
      </c>
      <c r="T23" s="4"/>
      <c r="U23" s="6">
        <f>IFERROR(__xludf.DUMMYFUNCTION("""COMPUTED_VALUE"""),3.2600000000000002)</f>
        <v>3.26</v>
      </c>
      <c r="V23" s="9">
        <f>IFERROR(__xludf.DUMMYFUNCTION("""COMPUTED_VALUE"""),1.0866666666666667)</f>
        <v>1.086666667</v>
      </c>
      <c r="W23" s="4"/>
      <c r="X23" s="4"/>
      <c r="Y23" s="4">
        <f>IFERROR(__xludf.DUMMYFUNCTION("""COMPUTED_VALUE"""),4.9)</f>
        <v>4.9</v>
      </c>
      <c r="Z23" s="4"/>
      <c r="AA23" s="4">
        <f>IFERROR(__xludf.DUMMYFUNCTION("""COMPUTED_VALUE"""),2261216.0)</f>
        <v>2261216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>
      <c r="A24" s="4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4">
        <f>IFERROR(__xludf.DUMMYFUNCTION("""COMPUTED_VALUE"""),1.9)</f>
        <v>1.9</v>
      </c>
      <c r="D24" s="4">
        <f>IFERROR(__xludf.DUMMYFUNCTION("""COMPUTED_VALUE"""),4.4)</f>
        <v>4.4</v>
      </c>
      <c r="E24" s="4">
        <f>IFERROR(__xludf.DUMMYFUNCTION("""COMPUTED_VALUE"""),1.5)</f>
        <v>1.5</v>
      </c>
      <c r="F24" s="4"/>
      <c r="G24" s="4">
        <f>IFERROR(__xludf.DUMMYFUNCTION("""COMPUTED_VALUE"""),2.5)</f>
        <v>2.5</v>
      </c>
      <c r="H24" s="4"/>
      <c r="I24" s="4">
        <f>IFERROR(__xludf.DUMMYFUNCTION("""COMPUTED_VALUE"""),1.2)</f>
        <v>1.2</v>
      </c>
      <c r="J24" s="4">
        <f>IFERROR(__xludf.DUMMYFUNCTION("""COMPUTED_VALUE"""),0.0)</f>
        <v>0</v>
      </c>
      <c r="K24" s="4">
        <f>IFERROR(__xludf.DUMMYFUNCTION("""COMPUTED_VALUE"""),0.0)</f>
        <v>0</v>
      </c>
      <c r="L24" s="4">
        <f>IFERROR(__xludf.DUMMYFUNCTION("""COMPUTED_VALUE"""),0.0)</f>
        <v>0</v>
      </c>
      <c r="M24" s="4">
        <f>IFERROR(__xludf.DUMMYFUNCTION("""COMPUTED_VALUE"""),0.0)</f>
        <v>0</v>
      </c>
      <c r="N24" s="4">
        <f>IFERROR(__xludf.DUMMYFUNCTION("""COMPUTED_VALUE"""),3.5)</f>
        <v>3.5</v>
      </c>
      <c r="O24" s="4">
        <f>IFERROR(__xludf.DUMMYFUNCTION("""COMPUTED_VALUE"""),4.38)</f>
        <v>4.38</v>
      </c>
      <c r="P24" s="4">
        <f>IFERROR(__xludf.DUMMYFUNCTION("""COMPUTED_VALUE"""),4.67)</f>
        <v>4.67</v>
      </c>
      <c r="Q24" s="4">
        <f>IFERROR(__xludf.DUMMYFUNCTION("""COMPUTED_VALUE"""),0.0)</f>
        <v>0</v>
      </c>
      <c r="R24" s="4">
        <f>IFERROR(__xludf.DUMMYFUNCTION("""COMPUTED_VALUE"""),5.0)</f>
        <v>5</v>
      </c>
      <c r="S24" s="4">
        <f>IFERROR(__xludf.DUMMYFUNCTION("""COMPUTED_VALUE"""),5.0)</f>
        <v>5</v>
      </c>
      <c r="T24" s="4"/>
      <c r="U24" s="6">
        <f>IFERROR(__xludf.DUMMYFUNCTION("""COMPUTED_VALUE"""),2.0100000000000002)</f>
        <v>2.01</v>
      </c>
      <c r="V24" s="9">
        <f>IFERROR(__xludf.DUMMYFUNCTION("""COMPUTED_VALUE"""),0.67)</f>
        <v>0.67</v>
      </c>
      <c r="W24" s="4"/>
      <c r="X24" s="4"/>
      <c r="Y24" s="4">
        <f>IFERROR(__xludf.DUMMYFUNCTION("""COMPUTED_VALUE"""),2.5)</f>
        <v>2.5</v>
      </c>
      <c r="Z24" s="4"/>
      <c r="AA24" s="4">
        <f>IFERROR(__xludf.DUMMYFUNCTION("""COMPUTED_VALUE"""),2261215.0)</f>
        <v>2261215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>
      <c r="A25" s="4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4">
        <f>IFERROR(__xludf.DUMMYFUNCTION("""COMPUTED_VALUE"""),4.1)</f>
        <v>4.1</v>
      </c>
      <c r="D25" s="4">
        <f>IFERROR(__xludf.DUMMYFUNCTION("""COMPUTED_VALUE"""),5.0)</f>
        <v>5</v>
      </c>
      <c r="E25" s="4">
        <f>IFERROR(__xludf.DUMMYFUNCTION("""COMPUTED_VALUE"""),2.7)</f>
        <v>2.7</v>
      </c>
      <c r="F25" s="4"/>
      <c r="G25" s="4">
        <f>IFERROR(__xludf.DUMMYFUNCTION("""COMPUTED_VALUE"""),4.7)</f>
        <v>4.7</v>
      </c>
      <c r="H25" s="4"/>
      <c r="I25" s="4">
        <f>IFERROR(__xludf.DUMMYFUNCTION("""COMPUTED_VALUE"""),2.2)</f>
        <v>2.2</v>
      </c>
      <c r="J25" s="4">
        <f>IFERROR(__xludf.DUMMYFUNCTION("""COMPUTED_VALUE"""),5.0)</f>
        <v>5</v>
      </c>
      <c r="K25" s="4">
        <f>IFERROR(__xludf.DUMMYFUNCTION("""COMPUTED_VALUE"""),4.7)</f>
        <v>4.7</v>
      </c>
      <c r="L25" s="4">
        <f>IFERROR(__xludf.DUMMYFUNCTION("""COMPUTED_VALUE"""),4.93)</f>
        <v>4.93</v>
      </c>
      <c r="M25" s="4">
        <f>IFERROR(__xludf.DUMMYFUNCTION("""COMPUTED_VALUE"""),3.9)</f>
        <v>3.9</v>
      </c>
      <c r="N25" s="4">
        <f>IFERROR(__xludf.DUMMYFUNCTION("""COMPUTED_VALUE"""),3.6)</f>
        <v>3.6</v>
      </c>
      <c r="O25" s="4">
        <f>IFERROR(__xludf.DUMMYFUNCTION("""COMPUTED_VALUE"""),4.63)</f>
        <v>4.63</v>
      </c>
      <c r="P25" s="4">
        <f>IFERROR(__xludf.DUMMYFUNCTION("""COMPUTED_VALUE"""),5.0)</f>
        <v>5</v>
      </c>
      <c r="Q25" s="4">
        <f>IFERROR(__xludf.DUMMYFUNCTION("""COMPUTED_VALUE"""),0.0)</f>
        <v>0</v>
      </c>
      <c r="R25" s="4">
        <f>IFERROR(__xludf.DUMMYFUNCTION("""COMPUTED_VALUE"""),5.0)</f>
        <v>5</v>
      </c>
      <c r="S25" s="4">
        <f>IFERROR(__xludf.DUMMYFUNCTION("""COMPUTED_VALUE"""),0.0)</f>
        <v>0</v>
      </c>
      <c r="T25" s="4"/>
      <c r="U25" s="6">
        <f>IFERROR(__xludf.DUMMYFUNCTION("""COMPUTED_VALUE"""),3.2)</f>
        <v>3.2</v>
      </c>
      <c r="V25" s="9">
        <f>IFERROR(__xludf.DUMMYFUNCTION("""COMPUTED_VALUE"""),1.0666666666666667)</f>
        <v>1.066666667</v>
      </c>
      <c r="W25" s="4"/>
      <c r="X25" s="4"/>
      <c r="Y25" s="4">
        <f>IFERROR(__xludf.DUMMYFUNCTION("""COMPUTED_VALUE"""),4.7)</f>
        <v>4.7</v>
      </c>
      <c r="Z25" s="4"/>
      <c r="AA25" s="4">
        <f>IFERROR(__xludf.DUMMYFUNCTION("""COMPUTED_VALUE"""),2261195.0)</f>
        <v>2261195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>
      <c r="A26" s="4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4">
        <f>IFERROR(__xludf.DUMMYFUNCTION("""COMPUTED_VALUE"""),2.5)</f>
        <v>2.5</v>
      </c>
      <c r="D26" s="4">
        <f>IFERROR(__xludf.DUMMYFUNCTION("""COMPUTED_VALUE"""),4.6)</f>
        <v>4.6</v>
      </c>
      <c r="E26" s="4">
        <f>IFERROR(__xludf.DUMMYFUNCTION("""COMPUTED_VALUE"""),2.6)</f>
        <v>2.6</v>
      </c>
      <c r="F26" s="4"/>
      <c r="G26" s="4">
        <f>IFERROR(__xludf.DUMMYFUNCTION("""COMPUTED_VALUE"""),4.5)</f>
        <v>4.5</v>
      </c>
      <c r="H26" s="4"/>
      <c r="I26" s="4">
        <f>IFERROR(__xludf.DUMMYFUNCTION("""COMPUTED_VALUE"""),2.1)</f>
        <v>2.1</v>
      </c>
      <c r="J26" s="4">
        <f>IFERROR(__xludf.DUMMYFUNCTION("""COMPUTED_VALUE"""),5.0)</f>
        <v>5</v>
      </c>
      <c r="K26" s="4">
        <f>IFERROR(__xludf.DUMMYFUNCTION("""COMPUTED_VALUE"""),3.72)</f>
        <v>3.72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IFERROR(__xludf.DUMMYFUNCTION("""COMPUTED_VALUE"""),3.5)</f>
        <v>3.5</v>
      </c>
      <c r="O26" s="4">
        <f>IFERROR(__xludf.DUMMYFUNCTION("""COMPUTED_VALUE"""),4.38)</f>
        <v>4.38</v>
      </c>
      <c r="P26" s="4">
        <f>IFERROR(__xludf.DUMMYFUNCTION("""COMPUTED_VALUE"""),2.98)</f>
        <v>2.98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4">
        <f>IFERROR(__xludf.DUMMYFUNCTION("""COMPUTED_VALUE"""),5.0)</f>
        <v>5</v>
      </c>
      <c r="T26" s="4"/>
      <c r="U26" s="6">
        <f>IFERROR(__xludf.DUMMYFUNCTION("""COMPUTED_VALUE"""),2.7449999999999997)</f>
        <v>2.745</v>
      </c>
      <c r="V26" s="9">
        <f>IFERROR(__xludf.DUMMYFUNCTION("""COMPUTED_VALUE"""),0.9149999999999999)</f>
        <v>0.915</v>
      </c>
      <c r="W26" s="4"/>
      <c r="X26" s="4"/>
      <c r="Y26" s="4">
        <f>IFERROR(__xludf.DUMMYFUNCTION("""COMPUTED_VALUE"""),4.5)</f>
        <v>4.5</v>
      </c>
      <c r="Z26" s="4"/>
      <c r="AA26" s="4">
        <f>IFERROR(__xludf.DUMMYFUNCTION("""COMPUTED_VALUE"""),2261681.0)</f>
        <v>2261681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>
      <c r="A27" s="4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4">
        <f>IFERROR(__xludf.DUMMYFUNCTION("""COMPUTED_VALUE"""),2.1)</f>
        <v>2.1</v>
      </c>
      <c r="D27" s="4">
        <f>IFERROR(__xludf.DUMMYFUNCTION("""COMPUTED_VALUE"""),3.6)</f>
        <v>3.6</v>
      </c>
      <c r="E27" s="4">
        <f>IFERROR(__xludf.DUMMYFUNCTION("""COMPUTED_VALUE"""),2.9)</f>
        <v>2.9</v>
      </c>
      <c r="F27" s="4"/>
      <c r="G27" s="4">
        <f>IFERROR(__xludf.DUMMYFUNCTION("""COMPUTED_VALUE"""),4.0)</f>
        <v>4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IFERROR(__xludf.DUMMYFUNCTION("""COMPUTED_VALUE"""),0.0)</f>
        <v>0</v>
      </c>
      <c r="M27" s="4">
        <f>IFERROR(__xludf.DUMMYFUNCTION("""COMPUTED_VALUE"""),0.0)</f>
        <v>0</v>
      </c>
      <c r="N27" s="4">
        <f>IFERROR(__xludf.DUMMYFUNCTION("""COMPUTED_VALUE"""),1.8)</f>
        <v>1.8</v>
      </c>
      <c r="O27" s="4">
        <f>IFERROR(__xludf.DUMMYFUNCTION("""COMPUTED_VALUE"""),4.25)</f>
        <v>4.25</v>
      </c>
      <c r="P27" s="4">
        <f>IFERROR(__xludf.DUMMYFUNCTION("""COMPUTED_VALUE"""),5.0)</f>
        <v>5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4">
        <f>IFERROR(__xludf.DUMMYFUNCTION("""COMPUTED_VALUE"""),5.0)</f>
        <v>5</v>
      </c>
      <c r="T27" s="4"/>
      <c r="U27" s="6">
        <f>IFERROR(__xludf.DUMMYFUNCTION("""COMPUTED_VALUE"""),2.4650000000000003)</f>
        <v>2.465</v>
      </c>
      <c r="V27" s="9">
        <f>IFERROR(__xludf.DUMMYFUNCTION("""COMPUTED_VALUE"""),0.8216666666666668)</f>
        <v>0.8216666667</v>
      </c>
      <c r="W27" s="4"/>
      <c r="X27" s="4"/>
      <c r="Y27" s="4">
        <f>IFERROR(__xludf.DUMMYFUNCTION("""COMPUTED_VALUE"""),4.0)</f>
        <v>4</v>
      </c>
      <c r="Z27" s="4"/>
      <c r="AA27" s="4">
        <f>IFERROR(__xludf.DUMMYFUNCTION("""COMPUTED_VALUE"""),2261757.0)</f>
        <v>2261757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>
      <c r="A28" s="4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4">
        <f>IFERROR(__xludf.DUMMYFUNCTION("""COMPUTED_VALUE"""),4.6)</f>
        <v>4.6</v>
      </c>
      <c r="D28" s="4">
        <f>IFERROR(__xludf.DUMMYFUNCTION("""COMPUTED_VALUE"""),4.1)</f>
        <v>4.1</v>
      </c>
      <c r="E28" s="4">
        <f>IFERROR(__xludf.DUMMYFUNCTION("""COMPUTED_VALUE"""),3.2)</f>
        <v>3.2</v>
      </c>
      <c r="F28" s="4"/>
      <c r="G28" s="4">
        <f>IFERROR(__xludf.DUMMYFUNCTION("""COMPUTED_VALUE"""),4.8)</f>
        <v>4.8</v>
      </c>
      <c r="H28" s="4"/>
      <c r="I28" s="4">
        <f>IFERROR(__xludf.DUMMYFUNCTION("""COMPUTED_VALUE"""),2.2)</f>
        <v>2.2</v>
      </c>
      <c r="J28" s="4">
        <f>IFERROR(__xludf.DUMMYFUNCTION("""COMPUTED_VALUE"""),5.0)</f>
        <v>5</v>
      </c>
      <c r="K28" s="4">
        <f>IFERROR(__xludf.DUMMYFUNCTION("""COMPUTED_VALUE"""),4.8)</f>
        <v>4.8</v>
      </c>
      <c r="L28" s="4">
        <f>IFERROR(__xludf.DUMMYFUNCTION("""COMPUTED_VALUE"""),4.4)</f>
        <v>4.4</v>
      </c>
      <c r="M28" s="4">
        <f>IFERROR(__xludf.DUMMYFUNCTION("""COMPUTED_VALUE"""),3.5)</f>
        <v>3.5</v>
      </c>
      <c r="N28" s="4">
        <f>IFERROR(__xludf.DUMMYFUNCTION("""COMPUTED_VALUE"""),4.6)</f>
        <v>4.6</v>
      </c>
      <c r="O28" s="4">
        <f>IFERROR(__xludf.DUMMYFUNCTION("""COMPUTED_VALUE"""),4.0)</f>
        <v>4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4">
        <f>IFERROR(__xludf.DUMMYFUNCTION("""COMPUTED_VALUE"""),5.0)</f>
        <v>5</v>
      </c>
      <c r="T28" s="4"/>
      <c r="U28" s="6">
        <f>IFERROR(__xludf.DUMMYFUNCTION("""COMPUTED_VALUE"""),3.26)</f>
        <v>3.26</v>
      </c>
      <c r="V28" s="9">
        <f>IFERROR(__xludf.DUMMYFUNCTION("""COMPUTED_VALUE"""),1.0866666666666667)</f>
        <v>1.086666667</v>
      </c>
      <c r="W28" s="4"/>
      <c r="X28" s="4"/>
      <c r="Y28" s="4">
        <f>IFERROR(__xludf.DUMMYFUNCTION("""COMPUTED_VALUE"""),4.8)</f>
        <v>4.8</v>
      </c>
      <c r="Z28" s="4"/>
      <c r="AA28" s="4">
        <f>IFERROR(__xludf.DUMMYFUNCTION("""COMPUTED_VALUE"""),2261218.0)</f>
        <v>2261218</v>
      </c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>
      <c r="A29" s="4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4">
        <f>IFERROR(__xludf.DUMMYFUNCTION("""COMPUTED_VALUE"""),2.1)</f>
        <v>2.1</v>
      </c>
      <c r="D29" s="4">
        <f>IFERROR(__xludf.DUMMYFUNCTION("""COMPUTED_VALUE"""),3.0)</f>
        <v>3</v>
      </c>
      <c r="E29" s="4">
        <f>IFERROR(__xludf.DUMMYFUNCTION("""COMPUTED_VALUE"""),1.8)</f>
        <v>1.8</v>
      </c>
      <c r="F29" s="4"/>
      <c r="G29" s="4">
        <f>IFERROR(__xludf.DUMMYFUNCTION("""COMPUTED_VALUE"""),3.7)</f>
        <v>3.7</v>
      </c>
      <c r="H29" s="4"/>
      <c r="I29" s="4">
        <f>IFERROR(__xludf.DUMMYFUNCTION("""COMPUTED_VALUE"""),1.7)</f>
        <v>1.7</v>
      </c>
      <c r="J29" s="4">
        <f>IFERROR(__xludf.DUMMYFUNCTION("""COMPUTED_VALUE"""),2.0)</f>
        <v>2</v>
      </c>
      <c r="K29" s="4">
        <f>IFERROR(__xludf.DUMMYFUNCTION("""COMPUTED_VALUE"""),0.0)</f>
        <v>0</v>
      </c>
      <c r="L29" s="4">
        <f>IFERROR(__xludf.DUMMYFUNCTION("""COMPUTED_VALUE"""),0.0)</f>
        <v>0</v>
      </c>
      <c r="M29" s="4">
        <f>IFERROR(__xludf.DUMMYFUNCTION("""COMPUTED_VALUE"""),4.7)</f>
        <v>4.7</v>
      </c>
      <c r="N29" s="4">
        <f>IFERROR(__xludf.DUMMYFUNCTION("""COMPUTED_VALUE"""),3.0)</f>
        <v>3</v>
      </c>
      <c r="O29" s="4">
        <f>IFERROR(__xludf.DUMMYFUNCTION("""COMPUTED_VALUE"""),1.75)</f>
        <v>1.75</v>
      </c>
      <c r="P29" s="4">
        <f>IFERROR(__xludf.DUMMYFUNCTION("""COMPUTED_VALUE"""),4.67)</f>
        <v>4.67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4">
        <f>IFERROR(__xludf.DUMMYFUNCTION("""COMPUTED_VALUE"""),5.0)</f>
        <v>5</v>
      </c>
      <c r="T29" s="4"/>
      <c r="U29" s="6">
        <f>IFERROR(__xludf.DUMMYFUNCTION("""COMPUTED_VALUE"""),2.025)</f>
        <v>2.025</v>
      </c>
      <c r="V29" s="9">
        <f>IFERROR(__xludf.DUMMYFUNCTION("""COMPUTED_VALUE"""),0.6749999999999999)</f>
        <v>0.675</v>
      </c>
      <c r="W29" s="4"/>
      <c r="X29" s="4"/>
      <c r="Y29" s="4">
        <f>IFERROR(__xludf.DUMMYFUNCTION("""COMPUTED_VALUE"""),3.7)</f>
        <v>3.7</v>
      </c>
      <c r="Z29" s="4"/>
      <c r="AA29" s="4">
        <f>IFERROR(__xludf.DUMMYFUNCTION("""COMPUTED_VALUE"""),2261915.0)</f>
        <v>2261915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>
      <c r="A30" s="4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4">
        <f>IFERROR(__xludf.DUMMYFUNCTION("""COMPUTED_VALUE"""),3.0)</f>
        <v>3</v>
      </c>
      <c r="D30" s="4">
        <f>IFERROR(__xludf.DUMMYFUNCTION("""COMPUTED_VALUE"""),3.0)</f>
        <v>3</v>
      </c>
      <c r="E30" s="4">
        <f>IFERROR(__xludf.DUMMYFUNCTION("""COMPUTED_VALUE"""),2.4)</f>
        <v>2.4</v>
      </c>
      <c r="F30" s="4"/>
      <c r="G30" s="4">
        <f>IFERROR(__xludf.DUMMYFUNCTION("""COMPUTED_VALUE"""),4.9)</f>
        <v>4.9</v>
      </c>
      <c r="H30" s="4"/>
      <c r="I30" s="4">
        <f>IFERROR(__xludf.DUMMYFUNCTION("""COMPUTED_VALUE"""),2.3)</f>
        <v>2.3</v>
      </c>
      <c r="J30" s="4"/>
      <c r="K30" s="4"/>
      <c r="L30" s="4"/>
      <c r="M30" s="4"/>
      <c r="N30" s="4"/>
      <c r="O30" s="4">
        <f>IFERROR(__xludf.DUMMYFUNCTION("""COMPUTED_VALUE"""),5.0)</f>
        <v>5</v>
      </c>
      <c r="P30" s="4">
        <f>IFERROR(__xludf.DUMMYFUNCTION("""COMPUTED_VALUE"""),4.66)</f>
        <v>4.66</v>
      </c>
      <c r="Q30" s="4">
        <f>IFERROR(__xludf.DUMMYFUNCTION("""COMPUTED_VALUE"""),5.0)</f>
        <v>5</v>
      </c>
      <c r="R30" s="4">
        <f>IFERROR(__xludf.DUMMYFUNCTION("""COMPUTED_VALUE"""),5.0)</f>
        <v>5</v>
      </c>
      <c r="S30" s="4">
        <f>IFERROR(__xludf.DUMMYFUNCTION("""COMPUTED_VALUE"""),5.0)</f>
        <v>5</v>
      </c>
      <c r="T30" s="4">
        <f>IFERROR(__xludf.DUMMYFUNCTION("""COMPUTED_VALUE"""),5.0)</f>
        <v>5</v>
      </c>
      <c r="U30" s="6">
        <f>IFERROR(__xludf.DUMMYFUNCTION("""COMPUTED_VALUE"""),2.535)</f>
        <v>2.535</v>
      </c>
      <c r="V30" s="9">
        <f>IFERROR(__xludf.DUMMYFUNCTION("""COMPUTED_VALUE"""),0.8450000000000001)</f>
        <v>0.845</v>
      </c>
      <c r="W30" s="4"/>
      <c r="X30" s="4"/>
      <c r="Y30" s="4">
        <f>IFERROR(__xludf.DUMMYFUNCTION("""COMPUTED_VALUE"""),4.9)</f>
        <v>4.9</v>
      </c>
      <c r="Z30" s="4"/>
      <c r="AA30" s="4">
        <f>IFERROR(__xludf.DUMMYFUNCTION("""COMPUTED_VALUE"""),2202217.0)</f>
        <v>2202217</v>
      </c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>
      <c r="A31" s="4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4">
        <f>IFERROR(__xludf.DUMMYFUNCTION("""COMPUTED_VALUE"""),4.5)</f>
        <v>4.5</v>
      </c>
      <c r="D31" s="4">
        <f>IFERROR(__xludf.DUMMYFUNCTION("""COMPUTED_VALUE"""),3.0)</f>
        <v>3</v>
      </c>
      <c r="E31" s="4">
        <f>IFERROR(__xludf.DUMMYFUNCTION("""COMPUTED_VALUE"""),2.2)</f>
        <v>2.2</v>
      </c>
      <c r="F31" s="4"/>
      <c r="G31" s="4">
        <f>IFERROR(__xludf.DUMMYFUNCTION("""COMPUTED_VALUE"""),4.9)</f>
        <v>4.9</v>
      </c>
      <c r="H31" s="4"/>
      <c r="I31" s="4">
        <f>IFERROR(__xludf.DUMMYFUNCTION("""COMPUTED_VALUE"""),2.3)</f>
        <v>2.3</v>
      </c>
      <c r="J31" s="4">
        <f>IFERROR(__xludf.DUMMYFUNCTION("""COMPUTED_VALUE"""),5.0)</f>
        <v>5</v>
      </c>
      <c r="K31" s="4">
        <f>IFERROR(__xludf.DUMMYFUNCTION("""COMPUTED_VALUE"""),5.0)</f>
        <v>5</v>
      </c>
      <c r="L31" s="4">
        <f>IFERROR(__xludf.DUMMYFUNCTION("""COMPUTED_VALUE"""),4.7)</f>
        <v>4.7</v>
      </c>
      <c r="M31" s="4">
        <f>IFERROR(__xludf.DUMMYFUNCTION("""COMPUTED_VALUE"""),5.0)</f>
        <v>5</v>
      </c>
      <c r="N31" s="4">
        <f>IFERROR(__xludf.DUMMYFUNCTION("""COMPUTED_VALUE"""),4.6)</f>
        <v>4.6</v>
      </c>
      <c r="O31" s="4">
        <f>IFERROR(__xludf.DUMMYFUNCTION("""COMPUTED_VALUE"""),4.13)</f>
        <v>4.13</v>
      </c>
      <c r="P31" s="4">
        <f>IFERROR(__xludf.DUMMYFUNCTION("""COMPUTED_VALUE"""),4.66)</f>
        <v>4.66</v>
      </c>
      <c r="Q31" s="4">
        <f>IFERROR(__xludf.DUMMYFUNCTION("""COMPUTED_VALUE"""),5.0)</f>
        <v>5</v>
      </c>
      <c r="R31" s="4">
        <f>IFERROR(__xludf.DUMMYFUNCTION("""COMPUTED_VALUE"""),5.0)</f>
        <v>5</v>
      </c>
      <c r="S31" s="4">
        <f>IFERROR(__xludf.DUMMYFUNCTION("""COMPUTED_VALUE"""),5.0)</f>
        <v>5</v>
      </c>
      <c r="T31" s="4"/>
      <c r="U31" s="6">
        <f>IFERROR(__xludf.DUMMYFUNCTION("""COMPUTED_VALUE"""),2.7849999999999997)</f>
        <v>2.785</v>
      </c>
      <c r="V31" s="9">
        <f>IFERROR(__xludf.DUMMYFUNCTION("""COMPUTED_VALUE"""),0.9283333333333332)</f>
        <v>0.9283333333</v>
      </c>
      <c r="W31" s="4"/>
      <c r="X31" s="4"/>
      <c r="Y31" s="4">
        <f>IFERROR(__xludf.DUMMYFUNCTION("""COMPUTED_VALUE"""),4.9)</f>
        <v>4.9</v>
      </c>
      <c r="Z31" s="4"/>
      <c r="AA31" s="4">
        <f>IFERROR(__xludf.DUMMYFUNCTION("""COMPUTED_VALUE"""),2261881.0)</f>
        <v>2261881</v>
      </c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>
      <c r="A32" s="4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4">
        <f>IFERROR(__xludf.DUMMYFUNCTION("""COMPUTED_VALUE"""),2.1)</f>
        <v>2.1</v>
      </c>
      <c r="D32" s="4">
        <f>IFERROR(__xludf.DUMMYFUNCTION("""COMPUTED_VALUE"""),2.5)</f>
        <v>2.5</v>
      </c>
      <c r="E32" s="4">
        <f>IFERROR(__xludf.DUMMYFUNCTION("""COMPUTED_VALUE"""),1.0)</f>
        <v>1</v>
      </c>
      <c r="F32" s="4"/>
      <c r="G32" s="4">
        <f>IFERROR(__xludf.DUMMYFUNCTION("""COMPUTED_VALUE"""),1.2)</f>
        <v>1.2</v>
      </c>
      <c r="H32" s="4"/>
      <c r="I32" s="4">
        <f>IFERROR(__xludf.DUMMYFUNCTION("""COMPUTED_VALUE"""),0.6)</f>
        <v>0.6</v>
      </c>
      <c r="J32" s="4">
        <f>IFERROR(__xludf.DUMMYFUNCTION("""COMPUTED_VALUE"""),3.6)</f>
        <v>3.6</v>
      </c>
      <c r="K32" s="4">
        <f>IFERROR(__xludf.DUMMYFUNCTION("""COMPUTED_VALUE"""),0.0)</f>
        <v>0</v>
      </c>
      <c r="L32" s="4">
        <f>IFERROR(__xludf.DUMMYFUNCTION("""COMPUTED_VALUE"""),0.0)</f>
        <v>0</v>
      </c>
      <c r="M32" s="4">
        <f>IFERROR(__xludf.DUMMYFUNCTION("""COMPUTED_VALUE"""),0.0)</f>
        <v>0</v>
      </c>
      <c r="N32" s="4">
        <f>IFERROR(__xludf.DUMMYFUNCTION("""COMPUTED_VALUE"""),0.0)</f>
        <v>0</v>
      </c>
      <c r="O32" s="4">
        <f>IFERROR(__xludf.DUMMYFUNCTION("""COMPUTED_VALUE"""),5.0)</f>
        <v>5</v>
      </c>
      <c r="P32" s="4">
        <f>IFERROR(__xludf.DUMMYFUNCTION("""COMPUTED_VALUE"""),0.0)</f>
        <v>0</v>
      </c>
      <c r="Q32" s="4">
        <f>IFERROR(__xludf.DUMMYFUNCTION("""COMPUTED_VALUE"""),0.0)</f>
        <v>0</v>
      </c>
      <c r="R32" s="4">
        <f>IFERROR(__xludf.DUMMYFUNCTION("""COMPUTED_VALUE"""),0.0)</f>
        <v>0</v>
      </c>
      <c r="S32" s="4">
        <f>IFERROR(__xludf.DUMMYFUNCTION("""COMPUTED_VALUE"""),0.0)</f>
        <v>0</v>
      </c>
      <c r="T32" s="4"/>
      <c r="U32" s="6">
        <f>IFERROR(__xludf.DUMMYFUNCTION("""COMPUTED_VALUE"""),1.3499999999999999)</f>
        <v>1.35</v>
      </c>
      <c r="V32" s="9">
        <f>IFERROR(__xludf.DUMMYFUNCTION("""COMPUTED_VALUE"""),0.44999999999999996)</f>
        <v>0.45</v>
      </c>
      <c r="W32" s="4"/>
      <c r="X32" s="4"/>
      <c r="Y32" s="4">
        <f>IFERROR(__xludf.DUMMYFUNCTION("""COMPUTED_VALUE"""),1.2)</f>
        <v>1.2</v>
      </c>
      <c r="Z32" s="4"/>
      <c r="AA32" s="4">
        <f>IFERROR(__xludf.DUMMYFUNCTION("""COMPUTED_VALUE"""),2262036.0)</f>
        <v>2262036</v>
      </c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>
      <c r="A33" s="4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4">
        <f>IFERROR(__xludf.DUMMYFUNCTION("""COMPUTED_VALUE"""),3.8)</f>
        <v>3.8</v>
      </c>
      <c r="D33" s="4">
        <f>IFERROR(__xludf.DUMMYFUNCTION("""COMPUTED_VALUE"""),3.3)</f>
        <v>3.3</v>
      </c>
      <c r="E33" s="4">
        <f>IFERROR(__xludf.DUMMYFUNCTION("""COMPUTED_VALUE"""),2.4)</f>
        <v>2.4</v>
      </c>
      <c r="F33" s="4"/>
      <c r="G33" s="4">
        <f>IFERROR(__xludf.DUMMYFUNCTION("""COMPUTED_VALUE"""),4.7)</f>
        <v>4.7</v>
      </c>
      <c r="H33" s="4"/>
      <c r="I33" s="4">
        <f>IFERROR(__xludf.DUMMYFUNCTION("""COMPUTED_VALUE"""),2.2)</f>
        <v>2.2</v>
      </c>
      <c r="J33" s="4">
        <f>IFERROR(__xludf.DUMMYFUNCTION("""COMPUTED_VALUE"""),1.5)</f>
        <v>1.5</v>
      </c>
      <c r="K33" s="4">
        <f>IFERROR(__xludf.DUMMYFUNCTION("""COMPUTED_VALUE"""),4.2)</f>
        <v>4.2</v>
      </c>
      <c r="L33" s="4">
        <f>IFERROR(__xludf.DUMMYFUNCTION("""COMPUTED_VALUE"""),4.7)</f>
        <v>4.7</v>
      </c>
      <c r="M33" s="4">
        <f>IFERROR(__xludf.DUMMYFUNCTION("""COMPUTED_VALUE"""),4.1)</f>
        <v>4.1</v>
      </c>
      <c r="N33" s="4">
        <f>IFERROR(__xludf.DUMMYFUNCTION("""COMPUTED_VALUE"""),5.0)</f>
        <v>5</v>
      </c>
      <c r="O33" s="4">
        <f>IFERROR(__xludf.DUMMYFUNCTION("""COMPUTED_VALUE"""),3.88)</f>
        <v>3.88</v>
      </c>
      <c r="P33" s="4">
        <f>IFERROR(__xludf.DUMMYFUNCTION("""COMPUTED_VALUE"""),4.67)</f>
        <v>4.67</v>
      </c>
      <c r="Q33" s="4">
        <f>IFERROR(__xludf.DUMMYFUNCTION("""COMPUTED_VALUE"""),5.0)</f>
        <v>5</v>
      </c>
      <c r="R33" s="4">
        <f>IFERROR(__xludf.DUMMYFUNCTION("""COMPUTED_VALUE"""),5.0)</f>
        <v>5</v>
      </c>
      <c r="S33" s="4">
        <f>IFERROR(__xludf.DUMMYFUNCTION("""COMPUTED_VALUE"""),5.0)</f>
        <v>5</v>
      </c>
      <c r="T33" s="4"/>
      <c r="U33" s="6">
        <f>IFERROR(__xludf.DUMMYFUNCTION("""COMPUTED_VALUE"""),2.725)</f>
        <v>2.725</v>
      </c>
      <c r="V33" s="9">
        <f>IFERROR(__xludf.DUMMYFUNCTION("""COMPUTED_VALUE"""),0.9083333333333333)</f>
        <v>0.9083333333</v>
      </c>
      <c r="W33" s="4"/>
      <c r="X33" s="4"/>
      <c r="Y33" s="4">
        <f>IFERROR(__xludf.DUMMYFUNCTION("""COMPUTED_VALUE"""),4.7)</f>
        <v>4.7</v>
      </c>
      <c r="Z33" s="4"/>
      <c r="AA33" s="4">
        <f>IFERROR(__xludf.DUMMYFUNCTION("""COMPUTED_VALUE"""),2262165.0)</f>
        <v>2262165</v>
      </c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>
      <c r="A34" s="4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4">
        <f>IFERROR(__xludf.DUMMYFUNCTION("""COMPUTED_VALUE"""),4.8)</f>
        <v>4.8</v>
      </c>
      <c r="D34" s="4">
        <f>IFERROR(__xludf.DUMMYFUNCTION("""COMPUTED_VALUE"""),4.5)</f>
        <v>4.5</v>
      </c>
      <c r="E34" s="4">
        <f>IFERROR(__xludf.DUMMYFUNCTION("""COMPUTED_VALUE"""),3.0)</f>
        <v>3</v>
      </c>
      <c r="F34" s="4"/>
      <c r="G34" s="4">
        <f>IFERROR(__xludf.DUMMYFUNCTION("""COMPUTED_VALUE"""),4.9)</f>
        <v>4.9</v>
      </c>
      <c r="H34" s="4"/>
      <c r="I34" s="4">
        <f>IFERROR(__xludf.DUMMYFUNCTION("""COMPUTED_VALUE"""),2.3)</f>
        <v>2.3</v>
      </c>
      <c r="J34" s="4">
        <f>IFERROR(__xludf.DUMMYFUNCTION("""COMPUTED_VALUE"""),5.0)</f>
        <v>5</v>
      </c>
      <c r="K34" s="4">
        <f>IFERROR(__xludf.DUMMYFUNCTION("""COMPUTED_VALUE"""),4.8)</f>
        <v>4.8</v>
      </c>
      <c r="L34" s="4">
        <f>IFERROR(__xludf.DUMMYFUNCTION("""COMPUTED_VALUE"""),4.7)</f>
        <v>4.7</v>
      </c>
      <c r="M34" s="4">
        <f>IFERROR(__xludf.DUMMYFUNCTION("""COMPUTED_VALUE"""),4.7)</f>
        <v>4.7</v>
      </c>
      <c r="N34" s="4">
        <f>IFERROR(__xludf.DUMMYFUNCTION("""COMPUTED_VALUE"""),4.6)</f>
        <v>4.6</v>
      </c>
      <c r="O34" s="4">
        <f>IFERROR(__xludf.DUMMYFUNCTION("""COMPUTED_VALUE"""),4.88)</f>
        <v>4.88</v>
      </c>
      <c r="P34" s="4">
        <f>IFERROR(__xludf.DUMMYFUNCTION("""COMPUTED_VALUE"""),5.0)</f>
        <v>5</v>
      </c>
      <c r="Q34" s="4">
        <f>IFERROR(__xludf.DUMMYFUNCTION("""COMPUTED_VALUE"""),5.0)</f>
        <v>5</v>
      </c>
      <c r="R34" s="4">
        <f>IFERROR(__xludf.DUMMYFUNCTION("""COMPUTED_VALUE"""),5.0)</f>
        <v>5</v>
      </c>
      <c r="S34" s="4">
        <f>IFERROR(__xludf.DUMMYFUNCTION("""COMPUTED_VALUE"""),5.0)</f>
        <v>5</v>
      </c>
      <c r="T34" s="4"/>
      <c r="U34" s="6">
        <f>IFERROR(__xludf.DUMMYFUNCTION("""COMPUTED_VALUE"""),3.345)</f>
        <v>3.345</v>
      </c>
      <c r="V34" s="9">
        <f>IFERROR(__xludf.DUMMYFUNCTION("""COMPUTED_VALUE"""),1.115)</f>
        <v>1.115</v>
      </c>
      <c r="W34" s="4"/>
      <c r="X34" s="4"/>
      <c r="Y34" s="4">
        <f>IFERROR(__xludf.DUMMYFUNCTION("""COMPUTED_VALUE"""),4.9)</f>
        <v>4.9</v>
      </c>
      <c r="Z34" s="4"/>
      <c r="AA34" s="4">
        <f>IFERROR(__xludf.DUMMYFUNCTION("""COMPUTED_VALUE"""),2262141.0)</f>
        <v>2262141</v>
      </c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>
      <c r="A35" s="4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4">
        <f>IFERROR(__xludf.DUMMYFUNCTION("""COMPUTED_VALUE"""),2.5)</f>
        <v>2.5</v>
      </c>
      <c r="D35" s="4">
        <f>IFERROR(__xludf.DUMMYFUNCTION("""COMPUTED_VALUE"""),3.6)</f>
        <v>3.6</v>
      </c>
      <c r="E35" s="4">
        <f>IFERROR(__xludf.DUMMYFUNCTION("""COMPUTED_VALUE"""),2.9)</f>
        <v>2.9</v>
      </c>
      <c r="F35" s="4"/>
      <c r="G35" s="4">
        <f>IFERROR(__xludf.DUMMYFUNCTION("""COMPUTED_VALUE"""),4.5)</f>
        <v>4.5</v>
      </c>
      <c r="H35" s="4"/>
      <c r="I35" s="4">
        <f>IFERROR(__xludf.DUMMYFUNCTION("""COMPUTED_VALUE"""),2.1)</f>
        <v>2.1</v>
      </c>
      <c r="J35" s="4">
        <f>IFERROR(__xludf.DUMMYFUNCTION("""COMPUTED_VALUE"""),2.0)</f>
        <v>2</v>
      </c>
      <c r="K35" s="4">
        <f>IFERROR(__xludf.DUMMYFUNCTION("""COMPUTED_VALUE"""),4.8)</f>
        <v>4.8</v>
      </c>
      <c r="L35" s="4">
        <f>IFERROR(__xludf.DUMMYFUNCTION("""COMPUTED_VALUE"""),4.4)</f>
        <v>4.4</v>
      </c>
      <c r="M35" s="4">
        <f>IFERROR(__xludf.DUMMYFUNCTION("""COMPUTED_VALUE"""),2.7)</f>
        <v>2.7</v>
      </c>
      <c r="N35" s="4">
        <f>IFERROR(__xludf.DUMMYFUNCTION("""COMPUTED_VALUE"""),3.6)</f>
        <v>3.6</v>
      </c>
      <c r="O35" s="4">
        <f>IFERROR(__xludf.DUMMYFUNCTION("""COMPUTED_VALUE"""),4.75)</f>
        <v>4.75</v>
      </c>
      <c r="P35" s="4">
        <f>IFERROR(__xludf.DUMMYFUNCTION("""COMPUTED_VALUE"""),4.0)</f>
        <v>4</v>
      </c>
      <c r="Q35" s="4">
        <f>IFERROR(__xludf.DUMMYFUNCTION("""COMPUTED_VALUE"""),5.0)</f>
        <v>5</v>
      </c>
      <c r="R35" s="4">
        <f>IFERROR(__xludf.DUMMYFUNCTION("""COMPUTED_VALUE"""),5.0)</f>
        <v>5</v>
      </c>
      <c r="S35" s="4">
        <f>IFERROR(__xludf.DUMMYFUNCTION("""COMPUTED_VALUE"""),5.0)</f>
        <v>5</v>
      </c>
      <c r="T35" s="4"/>
      <c r="U35" s="6">
        <f>IFERROR(__xludf.DUMMYFUNCTION("""COMPUTED_VALUE"""),2.6199999999999997)</f>
        <v>2.62</v>
      </c>
      <c r="V35" s="9">
        <f>IFERROR(__xludf.DUMMYFUNCTION("""COMPUTED_VALUE"""),0.8733333333333332)</f>
        <v>0.8733333333</v>
      </c>
      <c r="W35" s="4"/>
      <c r="X35" s="4"/>
      <c r="Y35" s="4">
        <f>IFERROR(__xludf.DUMMYFUNCTION("""COMPUTED_VALUE"""),4.5)</f>
        <v>4.5</v>
      </c>
      <c r="Z35" s="4"/>
      <c r="AA35" s="4">
        <f>IFERROR(__xludf.DUMMYFUNCTION("""COMPUTED_VALUE"""),2262202.0)</f>
        <v>2262202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>
      <c r="A36" s="4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4">
        <f>IFERROR(__xludf.DUMMYFUNCTION("""COMPUTED_VALUE"""),4.0)</f>
        <v>4</v>
      </c>
      <c r="D36" s="4">
        <f>IFERROR(__xludf.DUMMYFUNCTION("""COMPUTED_VALUE"""),3.9)</f>
        <v>3.9</v>
      </c>
      <c r="E36" s="4">
        <f>IFERROR(__xludf.DUMMYFUNCTION("""COMPUTED_VALUE"""),2.4)</f>
        <v>2.4</v>
      </c>
      <c r="F36" s="4"/>
      <c r="G36" s="4">
        <f>IFERROR(__xludf.DUMMYFUNCTION("""COMPUTED_VALUE"""),4.9)</f>
        <v>4.9</v>
      </c>
      <c r="H36" s="4"/>
      <c r="I36" s="4">
        <f>IFERROR(__xludf.DUMMYFUNCTION("""COMPUTED_VALUE"""),2.3)</f>
        <v>2.3</v>
      </c>
      <c r="J36" s="4">
        <f>IFERROR(__xludf.DUMMYFUNCTION("""COMPUTED_VALUE"""),5.0)</f>
        <v>5</v>
      </c>
      <c r="K36" s="4">
        <f>IFERROR(__xludf.DUMMYFUNCTION("""COMPUTED_VALUE"""),4.6)</f>
        <v>4.6</v>
      </c>
      <c r="L36" s="4">
        <f>IFERROR(__xludf.DUMMYFUNCTION("""COMPUTED_VALUE"""),5.0)</f>
        <v>5</v>
      </c>
      <c r="M36" s="4">
        <f>IFERROR(__xludf.DUMMYFUNCTION("""COMPUTED_VALUE"""),2.7)</f>
        <v>2.7</v>
      </c>
      <c r="N36" s="4">
        <f>IFERROR(__xludf.DUMMYFUNCTION("""COMPUTED_VALUE"""),3.6)</f>
        <v>3.6</v>
      </c>
      <c r="O36" s="4">
        <f>IFERROR(__xludf.DUMMYFUNCTION("""COMPUTED_VALUE"""),5.0)</f>
        <v>5</v>
      </c>
      <c r="P36" s="4">
        <f>IFERROR(__xludf.DUMMYFUNCTION("""COMPUTED_VALUE"""),4.66)</f>
        <v>4.66</v>
      </c>
      <c r="Q36" s="4">
        <f>IFERROR(__xludf.DUMMYFUNCTION("""COMPUTED_VALUE"""),5.0)</f>
        <v>5</v>
      </c>
      <c r="R36" s="4">
        <f>IFERROR(__xludf.DUMMYFUNCTION("""COMPUTED_VALUE"""),5.0)</f>
        <v>5</v>
      </c>
      <c r="S36" s="4">
        <f>IFERROR(__xludf.DUMMYFUNCTION("""COMPUTED_VALUE"""),5.0)</f>
        <v>5</v>
      </c>
      <c r="T36" s="4"/>
      <c r="U36" s="6">
        <f>IFERROR(__xludf.DUMMYFUNCTION("""COMPUTED_VALUE"""),2.915)</f>
        <v>2.915</v>
      </c>
      <c r="V36" s="9">
        <f>IFERROR(__xludf.DUMMYFUNCTION("""COMPUTED_VALUE"""),0.9716666666666667)</f>
        <v>0.9716666667</v>
      </c>
      <c r="W36" s="4"/>
      <c r="X36" s="4"/>
      <c r="Y36" s="4">
        <f>IFERROR(__xludf.DUMMYFUNCTION("""COMPUTED_VALUE"""),4.9)</f>
        <v>4.9</v>
      </c>
      <c r="Z36" s="4"/>
      <c r="AA36" s="4">
        <f>IFERROR(__xludf.DUMMYFUNCTION("""COMPUTED_VALUE"""),2262161.0)</f>
        <v>2262161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>
      <c r="A37" s="4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4">
        <f>IFERROR(__xludf.DUMMYFUNCTION("""COMPUTED_VALUE"""),2.5)</f>
        <v>2.5</v>
      </c>
      <c r="D37" s="4">
        <f>IFERROR(__xludf.DUMMYFUNCTION("""COMPUTED_VALUE"""),1.5)</f>
        <v>1.5</v>
      </c>
      <c r="E37" s="4">
        <f>IFERROR(__xludf.DUMMYFUNCTION("""COMPUTED_VALUE"""),2.6)</f>
        <v>2.6</v>
      </c>
      <c r="F37" s="4"/>
      <c r="G37" s="4">
        <f>IFERROR(__xludf.DUMMYFUNCTION("""COMPUTED_VALUE"""),3.8)</f>
        <v>3.8</v>
      </c>
      <c r="H37" s="4"/>
      <c r="I37" s="4">
        <f>IFERROR(__xludf.DUMMYFUNCTION("""COMPUTED_VALUE"""),1.8)</f>
        <v>1.8</v>
      </c>
      <c r="J37" s="4">
        <f>IFERROR(__xludf.DUMMYFUNCTION("""COMPUTED_VALUE"""),5.0)</f>
        <v>5</v>
      </c>
      <c r="K37" s="4">
        <f>IFERROR(__xludf.DUMMYFUNCTION("""COMPUTED_VALUE"""),3.8)</f>
        <v>3.8</v>
      </c>
      <c r="L37" s="4">
        <f>IFERROR(__xludf.DUMMYFUNCTION("""COMPUTED_VALUE"""),0.0)</f>
        <v>0</v>
      </c>
      <c r="M37" s="4">
        <f>IFERROR(__xludf.DUMMYFUNCTION("""COMPUTED_VALUE"""),4.1)</f>
        <v>4.1</v>
      </c>
      <c r="N37" s="4">
        <f>IFERROR(__xludf.DUMMYFUNCTION("""COMPUTED_VALUE"""),3.5)</f>
        <v>3.5</v>
      </c>
      <c r="O37" s="4">
        <f>IFERROR(__xludf.DUMMYFUNCTION("""COMPUTED_VALUE"""),0.0)</f>
        <v>0</v>
      </c>
      <c r="P37" s="4">
        <f>IFERROR(__xludf.DUMMYFUNCTION("""COMPUTED_VALUE"""),0.0)</f>
        <v>0</v>
      </c>
      <c r="Q37" s="4">
        <f>IFERROR(__xludf.DUMMYFUNCTION("""COMPUTED_VALUE"""),5.0)</f>
        <v>5</v>
      </c>
      <c r="R37" s="4">
        <f>IFERROR(__xludf.DUMMYFUNCTION("""COMPUTED_VALUE"""),5.0)</f>
        <v>5</v>
      </c>
      <c r="S37" s="4">
        <f>IFERROR(__xludf.DUMMYFUNCTION("""COMPUTED_VALUE"""),5.0)</f>
        <v>5</v>
      </c>
      <c r="T37" s="4"/>
      <c r="U37" s="6">
        <f>IFERROR(__xludf.DUMMYFUNCTION("""COMPUTED_VALUE"""),2.02)</f>
        <v>2.02</v>
      </c>
      <c r="V37" s="9">
        <f>IFERROR(__xludf.DUMMYFUNCTION("""COMPUTED_VALUE"""),0.6733333333333333)</f>
        <v>0.6733333333</v>
      </c>
      <c r="W37" s="4"/>
      <c r="X37" s="4"/>
      <c r="Y37" s="4">
        <f>IFERROR(__xludf.DUMMYFUNCTION("""COMPUTED_VALUE"""),3.8)</f>
        <v>3.8</v>
      </c>
      <c r="Z37" s="4"/>
      <c r="AA37" s="4">
        <f>IFERROR(__xludf.DUMMYFUNCTION("""COMPUTED_VALUE"""),2261809.0)</f>
        <v>2261809</v>
      </c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>
      <c r="A38" s="4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4">
        <f>IFERROR(__xludf.DUMMYFUNCTION("""COMPUTED_VALUE"""),3.9)</f>
        <v>3.9</v>
      </c>
      <c r="D38" s="4">
        <f>IFERROR(__xludf.DUMMYFUNCTION("""COMPUTED_VALUE"""),4.4)</f>
        <v>4.4</v>
      </c>
      <c r="E38" s="4">
        <f>IFERROR(__xludf.DUMMYFUNCTION("""COMPUTED_VALUE"""),3.4)</f>
        <v>3.4</v>
      </c>
      <c r="F38" s="4"/>
      <c r="G38" s="4">
        <f>IFERROR(__xludf.DUMMYFUNCTION("""COMPUTED_VALUE"""),4.7)</f>
        <v>4.7</v>
      </c>
      <c r="H38" s="4"/>
      <c r="I38" s="4">
        <f>IFERROR(__xludf.DUMMYFUNCTION("""COMPUTED_VALUE"""),2.2)</f>
        <v>2.2</v>
      </c>
      <c r="J38" s="4">
        <f>IFERROR(__xludf.DUMMYFUNCTION("""COMPUTED_VALUE"""),3.6)</f>
        <v>3.6</v>
      </c>
      <c r="K38" s="4">
        <f>IFERROR(__xludf.DUMMYFUNCTION("""COMPUTED_VALUE"""),4.8)</f>
        <v>4.8</v>
      </c>
      <c r="L38" s="4">
        <f>IFERROR(__xludf.DUMMYFUNCTION("""COMPUTED_VALUE"""),4.7)</f>
        <v>4.7</v>
      </c>
      <c r="M38" s="4">
        <f>IFERROR(__xludf.DUMMYFUNCTION("""COMPUTED_VALUE"""),3.9)</f>
        <v>3.9</v>
      </c>
      <c r="N38" s="4">
        <f>IFERROR(__xludf.DUMMYFUNCTION("""COMPUTED_VALUE"""),3.0)</f>
        <v>3</v>
      </c>
      <c r="O38" s="4">
        <f>IFERROR(__xludf.DUMMYFUNCTION("""COMPUTED_VALUE"""),5.0)</f>
        <v>5</v>
      </c>
      <c r="P38" s="4">
        <f>IFERROR(__xludf.DUMMYFUNCTION("""COMPUTED_VALUE"""),4.66)</f>
        <v>4.66</v>
      </c>
      <c r="Q38" s="4">
        <f>IFERROR(__xludf.DUMMYFUNCTION("""COMPUTED_VALUE"""),5.0)</f>
        <v>5</v>
      </c>
      <c r="R38" s="4">
        <f>IFERROR(__xludf.DUMMYFUNCTION("""COMPUTED_VALUE"""),5.0)</f>
        <v>5</v>
      </c>
      <c r="S38" s="4">
        <f>IFERROR(__xludf.DUMMYFUNCTION("""COMPUTED_VALUE"""),5.0)</f>
        <v>5</v>
      </c>
      <c r="T38" s="4"/>
      <c r="U38" s="6">
        <f>IFERROR(__xludf.DUMMYFUNCTION("""COMPUTED_VALUE"""),3.2150000000000003)</f>
        <v>3.215</v>
      </c>
      <c r="V38" s="9">
        <f>IFERROR(__xludf.DUMMYFUNCTION("""COMPUTED_VALUE"""),1.0716666666666668)</f>
        <v>1.071666667</v>
      </c>
      <c r="W38" s="4"/>
      <c r="X38" s="4"/>
      <c r="Y38" s="4">
        <f>IFERROR(__xludf.DUMMYFUNCTION("""COMPUTED_VALUE"""),4.7)</f>
        <v>4.7</v>
      </c>
      <c r="Z38" s="4"/>
      <c r="AA38" s="4">
        <f>IFERROR(__xludf.DUMMYFUNCTION("""COMPUTED_VALUE"""),2262214.0)</f>
        <v>2262214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4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4">
        <f>IFERROR(__xludf.DUMMYFUNCTION("""COMPUTED_VALUE"""),4.9)</f>
        <v>4.9</v>
      </c>
      <c r="D2" s="4">
        <f>IFERROR(__xludf.DUMMYFUNCTION("""COMPUTED_VALUE"""),5.0)</f>
        <v>5</v>
      </c>
      <c r="E2" s="4">
        <f>IFERROR(__xludf.DUMMYFUNCTION("""COMPUTED_VALUE"""),4.0)</f>
        <v>4</v>
      </c>
      <c r="F2" s="4"/>
      <c r="G2" s="4">
        <f>IFERROR(__xludf.DUMMYFUNCTION("""COMPUTED_VALUE"""),4.7)</f>
        <v>4.7</v>
      </c>
      <c r="H2" s="4"/>
      <c r="I2" s="4">
        <f>IFERROR(__xludf.DUMMYFUNCTION("""COMPUTED_VALUE"""),2.4)</f>
        <v>2.4</v>
      </c>
      <c r="J2" s="4">
        <f>IFERROR(__xludf.DUMMYFUNCTION("""COMPUTED_VALUE"""),3.0)</f>
        <v>3</v>
      </c>
      <c r="K2" s="4">
        <f>IFERROR(__xludf.DUMMYFUNCTION("""COMPUTED_VALUE"""),5.0)</f>
        <v>5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>
        <f>IFERROR(__xludf.DUMMYFUNCTION("""COMPUTED_VALUE"""),5.0)</f>
        <v>5</v>
      </c>
      <c r="Q2" s="4"/>
      <c r="R2" s="4"/>
      <c r="S2" s="6">
        <f>IFERROR(__xludf.DUMMYFUNCTION("""COMPUTED_VALUE"""),3.725)</f>
        <v>3.725</v>
      </c>
      <c r="T2" s="9">
        <f>IFERROR(__xludf.DUMMYFUNCTION("""COMPUTED_VALUE"""),1.2416666666666667)</f>
        <v>1.241666667</v>
      </c>
      <c r="U2" s="4"/>
      <c r="V2" s="4"/>
      <c r="W2" s="4">
        <f>IFERROR(__xludf.DUMMYFUNCTION("""COMPUTED_VALUE"""),4.7)</f>
        <v>4.7</v>
      </c>
      <c r="X2" s="4"/>
      <c r="Y2" s="4">
        <f>IFERROR(__xludf.DUMMYFUNCTION("""COMPUTED_VALUE"""),2261740.0)</f>
        <v>2261740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4">
        <f>IFERROR(__xludf.DUMMYFUNCTION("""COMPUTED_VALUE"""),3.8)</f>
        <v>3.8</v>
      </c>
      <c r="D3" s="4">
        <f>IFERROR(__xludf.DUMMYFUNCTION("""COMPUTED_VALUE"""),3.2)</f>
        <v>3.2</v>
      </c>
      <c r="E3" s="4">
        <f>IFERROR(__xludf.DUMMYFUNCTION("""COMPUTED_VALUE"""),4.1)</f>
        <v>4.1</v>
      </c>
      <c r="F3" s="4"/>
      <c r="G3" s="4">
        <f>IFERROR(__xludf.DUMMYFUNCTION("""COMPUTED_VALUE"""),4.7)</f>
        <v>4.7</v>
      </c>
      <c r="H3" s="4"/>
      <c r="I3" s="4">
        <f>IFERROR(__xludf.DUMMYFUNCTION("""COMPUTED_VALUE"""),2.4)</f>
        <v>2.4</v>
      </c>
      <c r="J3" s="4">
        <f>IFERROR(__xludf.DUMMYFUNCTION("""COMPUTED_VALUE"""),3.0)</f>
        <v>3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>
        <f>IFERROR(__xludf.DUMMYFUNCTION("""COMPUTED_VALUE"""),5.0)</f>
        <v>5</v>
      </c>
      <c r="Q3" s="4"/>
      <c r="R3" s="4"/>
      <c r="S3" s="6">
        <f>IFERROR(__xludf.DUMMYFUNCTION("""COMPUTED_VALUE"""),3.13)</f>
        <v>3.13</v>
      </c>
      <c r="T3" s="9">
        <f>IFERROR(__xludf.DUMMYFUNCTION("""COMPUTED_VALUE"""),1.0433333333333332)</f>
        <v>1.043333333</v>
      </c>
      <c r="U3" s="4"/>
      <c r="V3" s="4"/>
      <c r="W3" s="4">
        <f>IFERROR(__xludf.DUMMYFUNCTION("""COMPUTED_VALUE"""),4.7)</f>
        <v>4.7</v>
      </c>
      <c r="X3" s="4"/>
      <c r="Y3" s="4">
        <f>IFERROR(__xludf.DUMMYFUNCTION("""COMPUTED_VALUE"""),2261739.0)</f>
        <v>2261739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4">
        <f>IFERROR(__xludf.DUMMYFUNCTION("""COMPUTED_VALUE"""),3.3)</f>
        <v>3.3</v>
      </c>
      <c r="D4" s="4">
        <f>IFERROR(__xludf.DUMMYFUNCTION("""COMPUTED_VALUE"""),3.5)</f>
        <v>3.5</v>
      </c>
      <c r="E4" s="4">
        <f>IFERROR(__xludf.DUMMYFUNCTION("""COMPUTED_VALUE"""),5.0)</f>
        <v>5</v>
      </c>
      <c r="F4" s="4"/>
      <c r="G4" s="4">
        <f>IFERROR(__xludf.DUMMYFUNCTION("""COMPUTED_VALUE"""),3.3)</f>
        <v>3.3</v>
      </c>
      <c r="H4" s="4"/>
      <c r="I4" s="4">
        <f>IFERROR(__xludf.DUMMYFUNCTION("""COMPUTED_VALUE"""),1.7)</f>
        <v>1.7</v>
      </c>
      <c r="J4" s="4">
        <f>IFERROR(__xludf.DUMMYFUNCTION("""COMPUTED_VALUE"""),1.0)</f>
        <v>1</v>
      </c>
      <c r="K4" s="4">
        <f>IFERROR(__xludf.DUMMYFUNCTION("""COMPUTED_VALUE"""),4.0)</f>
        <v>4</v>
      </c>
      <c r="L4" s="4">
        <f>IFERROR(__xludf.DUMMYFUNCTION("""COMPUTED_VALUE"""),0.0)</f>
        <v>0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>
        <f>IFERROR(__xludf.DUMMYFUNCTION("""COMPUTED_VALUE"""),5.0)</f>
        <v>5</v>
      </c>
      <c r="Q4" s="4"/>
      <c r="R4" s="4"/>
      <c r="S4" s="6">
        <f>IFERROR(__xludf.DUMMYFUNCTION("""COMPUTED_VALUE"""),3.0300000000000002)</f>
        <v>3.03</v>
      </c>
      <c r="T4" s="9">
        <f>IFERROR(__xludf.DUMMYFUNCTION("""COMPUTED_VALUE"""),1.01)</f>
        <v>1.01</v>
      </c>
      <c r="U4" s="4"/>
      <c r="V4" s="4"/>
      <c r="W4" s="4">
        <f>IFERROR(__xludf.DUMMYFUNCTION("""COMPUTED_VALUE"""),3.3)</f>
        <v>3.3</v>
      </c>
      <c r="X4" s="4"/>
      <c r="Y4" s="4">
        <f>IFERROR(__xludf.DUMMYFUNCTION("""COMPUTED_VALUE"""),2261421.0)</f>
        <v>2261421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4">
        <f>IFERROR(__xludf.DUMMYFUNCTION("""COMPUTED_VALUE"""),4.5)</f>
        <v>4.5</v>
      </c>
      <c r="D5" s="4">
        <f>IFERROR(__xludf.DUMMYFUNCTION("""COMPUTED_VALUE"""),4.0)</f>
        <v>4</v>
      </c>
      <c r="E5" s="4">
        <f>IFERROR(__xludf.DUMMYFUNCTION("""COMPUTED_VALUE"""),3.8)</f>
        <v>3.8</v>
      </c>
      <c r="F5" s="4"/>
      <c r="G5" s="4">
        <f>IFERROR(__xludf.DUMMYFUNCTION("""COMPUTED_VALUE"""),4.5)</f>
        <v>4.5</v>
      </c>
      <c r="H5" s="4"/>
      <c r="I5" s="4">
        <f>IFERROR(__xludf.DUMMYFUNCTION("""COMPUTED_VALUE"""),2.3)</f>
        <v>2.3</v>
      </c>
      <c r="J5" s="4">
        <f>IFERROR(__xludf.DUMMYFUNCTION("""COMPUTED_VALUE"""),3.0)</f>
        <v>3</v>
      </c>
      <c r="K5" s="4">
        <f>IFERROR(__xludf.DUMMYFUNCTION("""COMPUTED_VALUE"""),4.0)</f>
        <v>4</v>
      </c>
      <c r="L5" s="4">
        <f>IFERROR(__xludf.DUMMYFUNCTION("""COMPUTED_VALUE"""),5.0)</f>
        <v>5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/>
      <c r="P5" s="4">
        <f>IFERROR(__xludf.DUMMYFUNCTION("""COMPUTED_VALUE"""),5.0)</f>
        <v>5</v>
      </c>
      <c r="Q5" s="4"/>
      <c r="R5" s="4"/>
      <c r="S5" s="6">
        <f>IFERROR(__xludf.DUMMYFUNCTION("""COMPUTED_VALUE"""),3.335)</f>
        <v>3.335</v>
      </c>
      <c r="T5" s="9">
        <f>IFERROR(__xludf.DUMMYFUNCTION("""COMPUTED_VALUE"""),1.1116666666666666)</f>
        <v>1.111666667</v>
      </c>
      <c r="U5" s="4"/>
      <c r="V5" s="4"/>
      <c r="W5" s="4">
        <f>IFERROR(__xludf.DUMMYFUNCTION("""COMPUTED_VALUE"""),4.5)</f>
        <v>4.5</v>
      </c>
      <c r="X5" s="4"/>
      <c r="Y5" s="4">
        <f>IFERROR(__xludf.DUMMYFUNCTION("""COMPUTED_VALUE"""),2262091.0)</f>
        <v>2262091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4">
        <f>IFERROR(__xludf.DUMMYFUNCTION("""COMPUTED_VALUE"""),5.0)</f>
        <v>5</v>
      </c>
      <c r="D6" s="4">
        <f>IFERROR(__xludf.DUMMYFUNCTION("""COMPUTED_VALUE"""),4.0)</f>
        <v>4</v>
      </c>
      <c r="E6" s="4">
        <f>IFERROR(__xludf.DUMMYFUNCTION("""COMPUTED_VALUE"""),5.0)</f>
        <v>5</v>
      </c>
      <c r="F6" s="4"/>
      <c r="G6" s="4">
        <f>IFERROR(__xludf.DUMMYFUNCTION("""COMPUTED_VALUE"""),4.5)</f>
        <v>4.5</v>
      </c>
      <c r="H6" s="4"/>
      <c r="I6" s="4">
        <f>IFERROR(__xludf.DUMMYFUNCTION("""COMPUTED_VALUE"""),2.3)</f>
        <v>2.3</v>
      </c>
      <c r="J6" s="4">
        <f>IFERROR(__xludf.DUMMYFUNCTION("""COMPUTED_VALUE"""),2.0)</f>
        <v>2</v>
      </c>
      <c r="K6" s="4">
        <f>IFERROR(__xludf.DUMMYFUNCTION("""COMPUTED_VALUE"""),5.0)</f>
        <v>5</v>
      </c>
      <c r="L6" s="4">
        <f>IFERROR(__xludf.DUMMYFUNCTION("""COMPUTED_VALUE"""),5.0)</f>
        <v>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/>
      <c r="P6" s="4">
        <f>IFERROR(__xludf.DUMMYFUNCTION("""COMPUTED_VALUE"""),5.0)</f>
        <v>5</v>
      </c>
      <c r="Q6" s="4"/>
      <c r="R6" s="4"/>
      <c r="S6" s="6">
        <f>IFERROR(__xludf.DUMMYFUNCTION("""COMPUTED_VALUE"""),3.65)</f>
        <v>3.65</v>
      </c>
      <c r="T6" s="9">
        <f>IFERROR(__xludf.DUMMYFUNCTION("""COMPUTED_VALUE"""),1.2166666666666666)</f>
        <v>1.216666667</v>
      </c>
      <c r="U6" s="4"/>
      <c r="V6" s="4"/>
      <c r="W6" s="4">
        <f>IFERROR(__xludf.DUMMYFUNCTION("""COMPUTED_VALUE"""),4.5)</f>
        <v>4.5</v>
      </c>
      <c r="X6" s="4"/>
      <c r="Y6" s="4">
        <f>IFERROR(__xludf.DUMMYFUNCTION("""COMPUTED_VALUE"""),2261217.0)</f>
        <v>2261217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4">
        <f>IFERROR(__xludf.DUMMYFUNCTION("""COMPUTED_VALUE"""),4.0)</f>
        <v>4</v>
      </c>
      <c r="D7" s="4">
        <f>IFERROR(__xludf.DUMMYFUNCTION("""COMPUTED_VALUE"""),3.7)</f>
        <v>3.7</v>
      </c>
      <c r="E7" s="4">
        <f>IFERROR(__xludf.DUMMYFUNCTION("""COMPUTED_VALUE"""),2.0)</f>
        <v>2</v>
      </c>
      <c r="F7" s="4"/>
      <c r="G7" s="4">
        <f>IFERROR(__xludf.DUMMYFUNCTION("""COMPUTED_VALUE"""),3.4)</f>
        <v>3.4</v>
      </c>
      <c r="H7" s="4"/>
      <c r="I7" s="4">
        <f>IFERROR(__xludf.DUMMYFUNCTION("""COMPUTED_VALUE"""),1.7)</f>
        <v>1.7</v>
      </c>
      <c r="J7" s="4">
        <f>IFERROR(__xludf.DUMMYFUNCTION("""COMPUTED_VALUE"""),2.0)</f>
        <v>2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/>
      <c r="O7" s="4"/>
      <c r="P7" s="4">
        <f>IFERROR(__xludf.DUMMYFUNCTION("""COMPUTED_VALUE"""),0.0)</f>
        <v>0</v>
      </c>
      <c r="Q7" s="4"/>
      <c r="R7" s="4"/>
      <c r="S7" s="6">
        <f>IFERROR(__xludf.DUMMYFUNCTION("""COMPUTED_VALUE"""),2.605)</f>
        <v>2.605</v>
      </c>
      <c r="T7" s="9">
        <f>IFERROR(__xludf.DUMMYFUNCTION("""COMPUTED_VALUE"""),0.8683333333333333)</f>
        <v>0.8683333333</v>
      </c>
      <c r="U7" s="4"/>
      <c r="V7" s="4"/>
      <c r="W7" s="4">
        <f>IFERROR(__xludf.DUMMYFUNCTION("""COMPUTED_VALUE"""),3.4)</f>
        <v>3.4</v>
      </c>
      <c r="X7" s="4"/>
      <c r="Y7" s="4">
        <f>IFERROR(__xludf.DUMMYFUNCTION("""COMPUTED_VALUE"""),2261668.0)</f>
        <v>2261668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4">
        <f>IFERROR(__xludf.DUMMYFUNCTION("""COMPUTED_VALUE"""),4.5)</f>
        <v>4.5</v>
      </c>
      <c r="D8" s="4">
        <f>IFERROR(__xludf.DUMMYFUNCTION("""COMPUTED_VALUE"""),5.0)</f>
        <v>5</v>
      </c>
      <c r="E8" s="4">
        <f>IFERROR(__xludf.DUMMYFUNCTION("""COMPUTED_VALUE"""),4.0)</f>
        <v>4</v>
      </c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>
        <f>IFERROR(__xludf.DUMMYFUNCTION("""COMPUTED_VALUE"""),5.0)</f>
        <v>5</v>
      </c>
      <c r="Q8" s="4"/>
      <c r="R8" s="4"/>
      <c r="S8" s="6">
        <f>IFERROR(__xludf.DUMMYFUNCTION("""COMPUTED_VALUE"""),3.725)</f>
        <v>3.725</v>
      </c>
      <c r="T8" s="9">
        <f>IFERROR(__xludf.DUMMYFUNCTION("""COMPUTED_VALUE"""),1.2416666666666667)</f>
        <v>1.241666667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IFERROR(__xludf.DUMMYFUNCTION("""COMPUTED_VALUE"""),2261288.0)</f>
        <v>2261288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4">
        <f>IFERROR(__xludf.DUMMYFUNCTION("""COMPUTED_VALUE"""),0.0)</f>
        <v>0</v>
      </c>
      <c r="D9" s="4">
        <f>IFERROR(__xludf.DUMMYFUNCTION("""COMPUTED_VALUE"""),0.0)</f>
        <v>0</v>
      </c>
      <c r="E9" s="4">
        <f>IFERROR(__xludf.DUMMYFUNCTION("""COMPUTED_VALUE"""),0.0)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>
        <f>IFERROR(__xludf.DUMMYFUNCTION("""COMPUTED_VALUE"""),0.0)</f>
        <v>0</v>
      </c>
      <c r="T9" s="9">
        <f>IFERROR(__xludf.DUMMYFUNCTION("""COMPUTED_VALUE"""),0.0)</f>
        <v>0</v>
      </c>
      <c r="U9" s="4"/>
      <c r="V9" s="4"/>
      <c r="W9" s="4"/>
      <c r="X9" s="4"/>
      <c r="Y9" s="4">
        <f>IFERROR(__xludf.DUMMYFUNCTION("""COMPUTED_VALUE"""),2261846.0)</f>
        <v>2261846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4">
        <f>IFERROR(__xludf.DUMMYFUNCTION("""COMPUTED_VALUE"""),4.0)</f>
        <v>4</v>
      </c>
      <c r="D10" s="4">
        <f>IFERROR(__xludf.DUMMYFUNCTION("""COMPUTED_VALUE"""),3.5)</f>
        <v>3.5</v>
      </c>
      <c r="E10" s="4">
        <f>IFERROR(__xludf.DUMMYFUNCTION("""COMPUTED_VALUE"""),5.0)</f>
        <v>5</v>
      </c>
      <c r="F10" s="4"/>
      <c r="G10" s="4">
        <f>IFERROR(__xludf.DUMMYFUNCTION("""COMPUTED_VALUE"""),4.4)</f>
        <v>4.4</v>
      </c>
      <c r="H10" s="4"/>
      <c r="I10" s="4">
        <f>IFERROR(__xludf.DUMMYFUNCTION("""COMPUTED_VALUE"""),2.2)</f>
        <v>2.2</v>
      </c>
      <c r="J10" s="4">
        <f>IFERROR(__xludf.DUMMYFUNCTION("""COMPUTED_VALUE"""),2.0)</f>
        <v>2</v>
      </c>
      <c r="K10" s="4">
        <f>IFERROR(__xludf.DUMMYFUNCTION("""COMPUTED_VALUE"""),4.4)</f>
        <v>4.4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>
        <f>IFERROR(__xludf.DUMMYFUNCTION("""COMPUTED_VALUE"""),5.0)</f>
        <v>5</v>
      </c>
      <c r="Q10" s="4"/>
      <c r="R10" s="4"/>
      <c r="S10" s="6">
        <f>IFERROR(__xludf.DUMMYFUNCTION("""COMPUTED_VALUE"""),3.3550000000000004)</f>
        <v>3.355</v>
      </c>
      <c r="T10" s="9">
        <f>IFERROR(__xludf.DUMMYFUNCTION("""COMPUTED_VALUE"""),1.1183333333333334)</f>
        <v>1.118333333</v>
      </c>
      <c r="U10" s="4"/>
      <c r="V10" s="4"/>
      <c r="W10" s="4">
        <f>IFERROR(__xludf.DUMMYFUNCTION("""COMPUTED_VALUE"""),4.4)</f>
        <v>4.4</v>
      </c>
      <c r="X10" s="4"/>
      <c r="Y10" s="4">
        <f>IFERROR(__xludf.DUMMYFUNCTION("""COMPUTED_VALUE"""),2261420.0)</f>
        <v>2261420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4">
        <f>IFERROR(__xludf.DUMMYFUNCTION("""COMPUTED_VALUE"""),4.0)</f>
        <v>4</v>
      </c>
      <c r="D11" s="4">
        <f>IFERROR(__xludf.DUMMYFUNCTION("""COMPUTED_VALUE"""),3.6)</f>
        <v>3.6</v>
      </c>
      <c r="E11" s="4">
        <f>IFERROR(__xludf.DUMMYFUNCTION("""COMPUTED_VALUE"""),4.7)</f>
        <v>4.7</v>
      </c>
      <c r="F11" s="4"/>
      <c r="G11" s="4">
        <f>IFERROR(__xludf.DUMMYFUNCTION("""COMPUTED_VALUE"""),5.0)</f>
        <v>5</v>
      </c>
      <c r="H11" s="4"/>
      <c r="I11" s="4">
        <f>IFERROR(__xludf.DUMMYFUNCTION("""COMPUTED_VALUE"""),2.5)</f>
        <v>2.5</v>
      </c>
      <c r="J11" s="4">
        <f>IFERROR(__xludf.DUMMYFUNCTION("""COMPUTED_VALUE"""),5.0)</f>
        <v>5</v>
      </c>
      <c r="K11" s="4">
        <f>IFERROR(__xludf.DUMMYFUNCTION("""COMPUTED_VALUE"""),5.0)</f>
        <v>5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>
        <f>IFERROR(__xludf.DUMMYFUNCTION("""COMPUTED_VALUE"""),5.0)</f>
        <v>5</v>
      </c>
      <c r="Q11" s="4"/>
      <c r="R11" s="4"/>
      <c r="S11" s="6">
        <f>IFERROR(__xludf.DUMMYFUNCTION("""COMPUTED_VALUE"""),3.44)</f>
        <v>3.44</v>
      </c>
      <c r="T11" s="9">
        <f>IFERROR(__xludf.DUMMYFUNCTION("""COMPUTED_VALUE"""),1.1466666666666667)</f>
        <v>1.146666667</v>
      </c>
      <c r="U11" s="4"/>
      <c r="V11" s="4"/>
      <c r="W11" s="4">
        <f>IFERROR(__xludf.DUMMYFUNCTION("""COMPUTED_VALUE"""),5.0)</f>
        <v>5</v>
      </c>
      <c r="X11" s="4"/>
      <c r="Y11" s="4">
        <f>IFERROR(__xludf.DUMMYFUNCTION("""COMPUTED_VALUE"""),2261134.0)</f>
        <v>2261134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4">
        <f>IFERROR(__xludf.DUMMYFUNCTION("""COMPUTED_VALUE"""),4.5)</f>
        <v>4.5</v>
      </c>
      <c r="D12" s="4">
        <f>IFERROR(__xludf.DUMMYFUNCTION("""COMPUTED_VALUE"""),3.5)</f>
        <v>3.5</v>
      </c>
      <c r="E12" s="4">
        <f>IFERROR(__xludf.DUMMYFUNCTION("""COMPUTED_VALUE"""),4.2)</f>
        <v>4.2</v>
      </c>
      <c r="F12" s="4"/>
      <c r="G12" s="4">
        <f>IFERROR(__xludf.DUMMYFUNCTION("""COMPUTED_VALUE"""),4.5)</f>
        <v>4.5</v>
      </c>
      <c r="H12" s="4"/>
      <c r="I12" s="4">
        <f>IFERROR(__xludf.DUMMYFUNCTION("""COMPUTED_VALUE"""),2.3)</f>
        <v>2.3</v>
      </c>
      <c r="J12" s="4">
        <f>IFERROR(__xludf.DUMMYFUNCTION("""COMPUTED_VALUE"""),3.0)</f>
        <v>3</v>
      </c>
      <c r="K12" s="4">
        <f>IFERROR(__xludf.DUMMYFUNCTION("""COMPUTED_VALUE"""),4.2)</f>
        <v>4.2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>
        <f>IFERROR(__xludf.DUMMYFUNCTION("""COMPUTED_VALUE"""),5.0)</f>
        <v>5</v>
      </c>
      <c r="Q12" s="4"/>
      <c r="R12" s="4"/>
      <c r="S12" s="6">
        <f>IFERROR(__xludf.DUMMYFUNCTION("""COMPUTED_VALUE"""),3.29)</f>
        <v>3.29</v>
      </c>
      <c r="T12" s="9">
        <f>IFERROR(__xludf.DUMMYFUNCTION("""COMPUTED_VALUE"""),1.0966666666666667)</f>
        <v>1.096666667</v>
      </c>
      <c r="U12" s="4"/>
      <c r="V12" s="4"/>
      <c r="W12" s="4">
        <f>IFERROR(__xludf.DUMMYFUNCTION("""COMPUTED_VALUE"""),4.5)</f>
        <v>4.5</v>
      </c>
      <c r="X12" s="4"/>
      <c r="Y12" s="4">
        <f>IFERROR(__xludf.DUMMYFUNCTION("""COMPUTED_VALUE"""),2261742.0)</f>
        <v>2261742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4">
        <f>IFERROR(__xludf.DUMMYFUNCTION("""COMPUTED_VALUE"""),5.0)</f>
        <v>5</v>
      </c>
      <c r="D13" s="4">
        <f>IFERROR(__xludf.DUMMYFUNCTION("""COMPUTED_VALUE"""),3.5)</f>
        <v>3.5</v>
      </c>
      <c r="E13" s="4">
        <f>IFERROR(__xludf.DUMMYFUNCTION("""COMPUTED_VALUE"""),4.1)</f>
        <v>4.1</v>
      </c>
      <c r="F13" s="4"/>
      <c r="G13" s="4">
        <f>IFERROR(__xludf.DUMMYFUNCTION("""COMPUTED_VALUE"""),4.5)</f>
        <v>4.5</v>
      </c>
      <c r="H13" s="4"/>
      <c r="I13" s="4">
        <f>IFERROR(__xludf.DUMMYFUNCTION("""COMPUTED_VALUE"""),2.3)</f>
        <v>2.3</v>
      </c>
      <c r="J13" s="4">
        <f>IFERROR(__xludf.DUMMYFUNCTION("""COMPUTED_VALUE"""),3.0)</f>
        <v>3</v>
      </c>
      <c r="K13" s="4">
        <f>IFERROR(__xludf.DUMMYFUNCTION("""COMPUTED_VALUE"""),4.2)</f>
        <v>4.2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>
        <f>IFERROR(__xludf.DUMMYFUNCTION("""COMPUTED_VALUE"""),5.0)</f>
        <v>5</v>
      </c>
      <c r="Q13" s="4"/>
      <c r="R13" s="4"/>
      <c r="S13" s="6">
        <f>IFERROR(__xludf.DUMMYFUNCTION("""COMPUTED_VALUE"""),3.3449999999999998)</f>
        <v>3.345</v>
      </c>
      <c r="T13" s="9">
        <f>IFERROR(__xludf.DUMMYFUNCTION("""COMPUTED_VALUE"""),1.115)</f>
        <v>1.115</v>
      </c>
      <c r="U13" s="4"/>
      <c r="V13" s="4"/>
      <c r="W13" s="4">
        <f>IFERROR(__xludf.DUMMYFUNCTION("""COMPUTED_VALUE"""),4.5)</f>
        <v>4.5</v>
      </c>
      <c r="X13" s="4"/>
      <c r="Y13" s="4">
        <f>IFERROR(__xludf.DUMMYFUNCTION("""COMPUTED_VALUE"""),2261667.0)</f>
        <v>2261667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4">
        <f>IFERROR(__xludf.DUMMYFUNCTION("""COMPUTED_VALUE"""),5.0)</f>
        <v>5</v>
      </c>
      <c r="D14" s="4">
        <f>IFERROR(__xludf.DUMMYFUNCTION("""COMPUTED_VALUE"""),4.5)</f>
        <v>4.5</v>
      </c>
      <c r="E14" s="4">
        <f>IFERROR(__xludf.DUMMYFUNCTION("""COMPUTED_VALUE"""),5.0)</f>
        <v>5</v>
      </c>
      <c r="F14" s="4"/>
      <c r="G14" s="4">
        <f>IFERROR(__xludf.DUMMYFUNCTION("""COMPUTED_VALUE"""),4.8)</f>
        <v>4.8</v>
      </c>
      <c r="H14" s="4"/>
      <c r="I14" s="4">
        <f>IFERROR(__xludf.DUMMYFUNCTION("""COMPUTED_VALUE"""),2.4)</f>
        <v>2.4</v>
      </c>
      <c r="J14" s="4">
        <f>IFERROR(__xludf.DUMMYFUNCTION("""COMPUTED_VALUE"""),3.5)</f>
        <v>3.5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>
        <f>IFERROR(__xludf.DUMMYFUNCTION("""COMPUTED_VALUE"""),5.0)</f>
        <v>5</v>
      </c>
      <c r="Q14" s="4"/>
      <c r="R14" s="4"/>
      <c r="S14" s="6">
        <f>IFERROR(__xludf.DUMMYFUNCTION("""COMPUTED_VALUE"""),3.835)</f>
        <v>3.835</v>
      </c>
      <c r="T14" s="9">
        <f>IFERROR(__xludf.DUMMYFUNCTION("""COMPUTED_VALUE"""),1.2783333333333333)</f>
        <v>1.278333333</v>
      </c>
      <c r="U14" s="4"/>
      <c r="V14" s="4"/>
      <c r="W14" s="4">
        <f>IFERROR(__xludf.DUMMYFUNCTION("""COMPUTED_VALUE"""),4.8)</f>
        <v>4.8</v>
      </c>
      <c r="X14" s="4"/>
      <c r="Y14" s="4">
        <f>IFERROR(__xludf.DUMMYFUNCTION("""COMPUTED_VALUE"""),2262143.0)</f>
        <v>2262143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4">
        <f>IFERROR(__xludf.DUMMYFUNCTION("""COMPUTED_VALUE"""),4.5)</f>
        <v>4.5</v>
      </c>
      <c r="D15" s="4">
        <f>IFERROR(__xludf.DUMMYFUNCTION("""COMPUTED_VALUE"""),4.0)</f>
        <v>4</v>
      </c>
      <c r="E15" s="4">
        <f>IFERROR(__xludf.DUMMYFUNCTION("""COMPUTED_VALUE"""),4.4)</f>
        <v>4.4</v>
      </c>
      <c r="F15" s="4"/>
      <c r="G15" s="4">
        <f>IFERROR(__xludf.DUMMYFUNCTION("""COMPUTED_VALUE"""),3.7)</f>
        <v>3.7</v>
      </c>
      <c r="H15" s="4"/>
      <c r="I15" s="4">
        <f>IFERROR(__xludf.DUMMYFUNCTION("""COMPUTED_VALUE"""),1.9)</f>
        <v>1.9</v>
      </c>
      <c r="J15" s="4">
        <f>IFERROR(__xludf.DUMMYFUNCTION("""COMPUTED_VALUE"""),2.0)</f>
        <v>2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IFERROR(__xludf.DUMMYFUNCTION("""COMPUTED_VALUE"""),5.0)</f>
        <v>5</v>
      </c>
      <c r="O15" s="4"/>
      <c r="P15" s="4">
        <f>IFERROR(__xludf.DUMMYFUNCTION("""COMPUTED_VALUE"""),5.0)</f>
        <v>5</v>
      </c>
      <c r="Q15" s="4"/>
      <c r="R15" s="4"/>
      <c r="S15" s="6">
        <f>IFERROR(__xludf.DUMMYFUNCTION("""COMPUTED_VALUE"""),3.2950000000000004)</f>
        <v>3.295</v>
      </c>
      <c r="T15" s="9">
        <f>IFERROR(__xludf.DUMMYFUNCTION("""COMPUTED_VALUE"""),1.0983333333333334)</f>
        <v>1.098333333</v>
      </c>
      <c r="U15" s="4"/>
      <c r="V15" s="4"/>
      <c r="W15" s="4">
        <f>IFERROR(__xludf.DUMMYFUNCTION("""COMPUTED_VALUE"""),3.7)</f>
        <v>3.7</v>
      </c>
      <c r="X15" s="4"/>
      <c r="Y15" s="4">
        <f>IFERROR(__xludf.DUMMYFUNCTION("""COMPUTED_VALUE"""),2261135.0)</f>
        <v>2261135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4">
        <f>IFERROR(__xludf.DUMMYFUNCTION("""COMPUTED_VALUE"""),5.0)</f>
        <v>5</v>
      </c>
      <c r="D16" s="4">
        <f>IFERROR(__xludf.DUMMYFUNCTION("""COMPUTED_VALUE"""),4.5)</f>
        <v>4.5</v>
      </c>
      <c r="E16" s="4">
        <f>IFERROR(__xludf.DUMMYFUNCTION("""COMPUTED_VALUE"""),4.1)</f>
        <v>4.1</v>
      </c>
      <c r="F16" s="4"/>
      <c r="G16" s="4">
        <f>IFERROR(__xludf.DUMMYFUNCTION("""COMPUTED_VALUE"""),4.7)</f>
        <v>4.7</v>
      </c>
      <c r="H16" s="4"/>
      <c r="I16" s="4">
        <f>IFERROR(__xludf.DUMMYFUNCTION("""COMPUTED_VALUE"""),2.4)</f>
        <v>2.4</v>
      </c>
      <c r="J16" s="4">
        <f>IFERROR(__xludf.DUMMYFUNCTION("""COMPUTED_VALUE"""),3.0)</f>
        <v>3</v>
      </c>
      <c r="K16" s="4">
        <f>IFERROR(__xludf.DUMMYFUNCTION("""COMPUTED_VALUE"""),5.0)</f>
        <v>5</v>
      </c>
      <c r="L16" s="4">
        <f>IFERROR(__xludf.DUMMYFUNCTION("""COMPUTED_VALUE"""),5.0)</f>
        <v>5</v>
      </c>
      <c r="M16" s="4">
        <f>IFERROR(__xludf.DUMMYFUNCTION("""COMPUTED_VALUE"""),5.0)</f>
        <v>5</v>
      </c>
      <c r="N16" s="4">
        <f>IFERROR(__xludf.DUMMYFUNCTION("""COMPUTED_VALUE"""),5.0)</f>
        <v>5</v>
      </c>
      <c r="O16" s="4"/>
      <c r="P16" s="4">
        <f>IFERROR(__xludf.DUMMYFUNCTION("""COMPUTED_VALUE"""),5.0)</f>
        <v>5</v>
      </c>
      <c r="Q16" s="4"/>
      <c r="R16" s="4"/>
      <c r="S16" s="6">
        <f>IFERROR(__xludf.DUMMYFUNCTION("""COMPUTED_VALUE"""),3.635)</f>
        <v>3.635</v>
      </c>
      <c r="T16" s="9">
        <f>IFERROR(__xludf.DUMMYFUNCTION("""COMPUTED_VALUE"""),1.2116666666666667)</f>
        <v>1.211666667</v>
      </c>
      <c r="U16" s="4"/>
      <c r="V16" s="4"/>
      <c r="W16" s="4">
        <f>IFERROR(__xludf.DUMMYFUNCTION("""COMPUTED_VALUE"""),4.7)</f>
        <v>4.7</v>
      </c>
      <c r="X16" s="4"/>
      <c r="Y16" s="4">
        <f>IFERROR(__xludf.DUMMYFUNCTION("""COMPUTED_VALUE"""),2261992.0)</f>
        <v>2261992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IFERROR(__xludf.DUMMYFUNCTION("""COMPUTED_VALUE"""),2.5)</f>
        <v>2.5</v>
      </c>
      <c r="F17" s="4"/>
      <c r="G17" s="4">
        <f>IFERROR(__xludf.DUMMYFUNCTION("""COMPUTED_VALUE"""),4.7)</f>
        <v>4.7</v>
      </c>
      <c r="H17" s="4"/>
      <c r="I17" s="4">
        <f>IFERROR(__xludf.DUMMYFUNCTION("""COMPUTED_VALUE"""),2.4)</f>
        <v>2.4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>
        <f>IFERROR(__xludf.DUMMYFUNCTION("""COMPUTED_VALUE"""),5.0)</f>
        <v>5</v>
      </c>
      <c r="Q17" s="4"/>
      <c r="R17" s="4"/>
      <c r="S17" s="6">
        <f>IFERROR(__xludf.DUMMYFUNCTION("""COMPUTED_VALUE"""),2.9899999999999998)</f>
        <v>2.99</v>
      </c>
      <c r="T17" s="9">
        <f>IFERROR(__xludf.DUMMYFUNCTION("""COMPUTED_VALUE"""),0.9966666666666666)</f>
        <v>0.9966666667</v>
      </c>
      <c r="U17" s="4"/>
      <c r="V17" s="4"/>
      <c r="W17" s="4">
        <f>IFERROR(__xludf.DUMMYFUNCTION("""COMPUTED_VALUE"""),4.7)</f>
        <v>4.7</v>
      </c>
      <c r="X17" s="4"/>
      <c r="Y17" s="4">
        <f>IFERROR(__xludf.DUMMYFUNCTION("""COMPUTED_VALUE"""),2261741.0)</f>
        <v>2261741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4">
        <f>IFERROR(__xludf.DUMMYFUNCTION("""COMPUTED_VALUE"""),4.0)</f>
        <v>4</v>
      </c>
      <c r="D18" s="4">
        <f>IFERROR(__xludf.DUMMYFUNCTION("""COMPUTED_VALUE"""),3.5)</f>
        <v>3.5</v>
      </c>
      <c r="E18" s="4">
        <f>IFERROR(__xludf.DUMMYFUNCTION("""COMPUTED_VALUE"""),3.2)</f>
        <v>3.2</v>
      </c>
      <c r="F18" s="4"/>
      <c r="G18" s="4">
        <f>IFERROR(__xludf.DUMMYFUNCTION("""COMPUTED_VALUE"""),4.4)</f>
        <v>4.4</v>
      </c>
      <c r="H18" s="4"/>
      <c r="I18" s="4">
        <f>IFERROR(__xludf.DUMMYFUNCTION("""COMPUTED_VALUE"""),2.2)</f>
        <v>2.2</v>
      </c>
      <c r="J18" s="4">
        <f>IFERROR(__xludf.DUMMYFUNCTION("""COMPUTED_VALUE"""),2.0)</f>
        <v>2</v>
      </c>
      <c r="K18" s="4">
        <f>IFERROR(__xludf.DUMMYFUNCTION("""COMPUTED_VALUE"""),4.5)</f>
        <v>4.5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>
        <f>IFERROR(__xludf.DUMMYFUNCTION("""COMPUTED_VALUE"""),5.0)</f>
        <v>5</v>
      </c>
      <c r="Q18" s="4"/>
      <c r="R18" s="4"/>
      <c r="S18" s="6">
        <f>IFERROR(__xludf.DUMMYFUNCTION("""COMPUTED_VALUE"""),2.995)</f>
        <v>2.995</v>
      </c>
      <c r="T18" s="9">
        <f>IFERROR(__xludf.DUMMYFUNCTION("""COMPUTED_VALUE"""),0.9983333333333334)</f>
        <v>0.9983333333</v>
      </c>
      <c r="U18" s="4"/>
      <c r="V18" s="4"/>
      <c r="W18" s="4">
        <f>IFERROR(__xludf.DUMMYFUNCTION("""COMPUTED_VALUE"""),4.4)</f>
        <v>4.4</v>
      </c>
      <c r="X18" s="4"/>
      <c r="Y18" s="4">
        <f>IFERROR(__xludf.DUMMYFUNCTION("""COMPUTED_VALUE"""),2262124.0)</f>
        <v>2262124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4">
        <f>IFERROR(__xludf.DUMMYFUNCTION("""COMPUTED_VALUE"""),4.8)</f>
        <v>4.8</v>
      </c>
      <c r="D19" s="4">
        <f>IFERROR(__xludf.DUMMYFUNCTION("""COMPUTED_VALUE"""),4.5)</f>
        <v>4.5</v>
      </c>
      <c r="E19" s="4">
        <f>IFERROR(__xludf.DUMMYFUNCTION("""COMPUTED_VALUE"""),4.5)</f>
        <v>4.5</v>
      </c>
      <c r="F19" s="4"/>
      <c r="G19" s="4">
        <f>IFERROR(__xludf.DUMMYFUNCTION("""COMPUTED_VALUE"""),4.7)</f>
        <v>4.7</v>
      </c>
      <c r="H19" s="4"/>
      <c r="I19" s="4">
        <f>IFERROR(__xludf.DUMMYFUNCTION("""COMPUTED_VALUE"""),2.4)</f>
        <v>2.4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>
        <f>IFERROR(__xludf.DUMMYFUNCTION("""COMPUTED_VALUE"""),5.0)</f>
        <v>5</v>
      </c>
      <c r="Q19" s="4"/>
      <c r="R19" s="4"/>
      <c r="S19" s="6">
        <f>IFERROR(__xludf.DUMMYFUNCTION("""COMPUTED_VALUE"""),3.685)</f>
        <v>3.685</v>
      </c>
      <c r="T19" s="9">
        <f>IFERROR(__xludf.DUMMYFUNCTION("""COMPUTED_VALUE"""),1.2283333333333333)</f>
        <v>1.228333333</v>
      </c>
      <c r="U19" s="4"/>
      <c r="V19" s="4"/>
      <c r="W19" s="4">
        <f>IFERROR(__xludf.DUMMYFUNCTION("""COMPUTED_VALUE"""),4.7)</f>
        <v>4.7</v>
      </c>
      <c r="X19" s="4"/>
      <c r="Y19" s="4">
        <f>IFERROR(__xludf.DUMMYFUNCTION("""COMPUTED_VALUE"""),2262014.0)</f>
        <v>2262014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4">
        <f>IFERROR(__xludf.DUMMYFUNCTION("""COMPUTED_VALUE"""),4.5)</f>
        <v>4.5</v>
      </c>
      <c r="D20" s="4">
        <f>IFERROR(__xludf.DUMMYFUNCTION("""COMPUTED_VALUE"""),3.5)</f>
        <v>3.5</v>
      </c>
      <c r="E20" s="4">
        <f>IFERROR(__xludf.DUMMYFUNCTION("""COMPUTED_VALUE"""),4.2)</f>
        <v>4.2</v>
      </c>
      <c r="F20" s="4"/>
      <c r="G20" s="4">
        <f>IFERROR(__xludf.DUMMYFUNCTION("""COMPUTED_VALUE"""),4.6)</f>
        <v>4.6</v>
      </c>
      <c r="H20" s="4"/>
      <c r="I20" s="4">
        <f>IFERROR(__xludf.DUMMYFUNCTION("""COMPUTED_VALUE"""),2.3)</f>
        <v>2.3</v>
      </c>
      <c r="J20" s="4">
        <f>IFERROR(__xludf.DUMMYFUNCTION("""COMPUTED_VALUE"""),3.0)</f>
        <v>3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/>
      <c r="P20" s="4">
        <f>IFERROR(__xludf.DUMMYFUNCTION("""COMPUTED_VALUE"""),5.0)</f>
        <v>5</v>
      </c>
      <c r="Q20" s="4"/>
      <c r="R20" s="4"/>
      <c r="S20" s="6">
        <f>IFERROR(__xludf.DUMMYFUNCTION("""COMPUTED_VALUE"""),3.31)</f>
        <v>3.31</v>
      </c>
      <c r="T20" s="9">
        <f>IFERROR(__xludf.DUMMYFUNCTION("""COMPUTED_VALUE"""),1.1033333333333333)</f>
        <v>1.103333333</v>
      </c>
      <c r="U20" s="4"/>
      <c r="V20" s="4"/>
      <c r="W20" s="4">
        <f>IFERROR(__xludf.DUMMYFUNCTION("""COMPUTED_VALUE"""),4.6)</f>
        <v>4.6</v>
      </c>
      <c r="X20" s="4"/>
      <c r="Y20" s="4">
        <f>IFERROR(__xludf.DUMMYFUNCTION("""COMPUTED_VALUE"""),2261852.0)</f>
        <v>2261852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4">
        <f>IFERROR(__xludf.DUMMYFUNCTION("""COMPUTED_VALUE"""),5.0)</f>
        <v>5</v>
      </c>
      <c r="D21" s="4">
        <f>IFERROR(__xludf.DUMMYFUNCTION("""COMPUTED_VALUE"""),4.0)</f>
        <v>4</v>
      </c>
      <c r="E21" s="4">
        <f>IFERROR(__xludf.DUMMYFUNCTION("""COMPUTED_VALUE"""),5.0)</f>
        <v>5</v>
      </c>
      <c r="F21" s="4"/>
      <c r="G21" s="4">
        <f>IFERROR(__xludf.DUMMYFUNCTION("""COMPUTED_VALUE"""),4.5)</f>
        <v>4.5</v>
      </c>
      <c r="H21" s="4"/>
      <c r="I21" s="4">
        <f>IFERROR(__xludf.DUMMYFUNCTION("""COMPUTED_VALUE"""),2.3)</f>
        <v>2.3</v>
      </c>
      <c r="J21" s="4">
        <f>IFERROR(__xludf.DUMMYFUNCTION("""COMPUTED_VALUE"""),2.0)</f>
        <v>2</v>
      </c>
      <c r="K21" s="4">
        <f>IFERROR(__xludf.DUMMYFUNCTION("""COMPUTED_VALUE"""),5.0)</f>
        <v>5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>
        <f>IFERROR(__xludf.DUMMYFUNCTION("""COMPUTED_VALUE"""),5.0)</f>
        <v>5</v>
      </c>
      <c r="Q21" s="4"/>
      <c r="R21" s="4"/>
      <c r="S21" s="6">
        <f>IFERROR(__xludf.DUMMYFUNCTION("""COMPUTED_VALUE"""),3.65)</f>
        <v>3.65</v>
      </c>
      <c r="T21" s="9">
        <f>IFERROR(__xludf.DUMMYFUNCTION("""COMPUTED_VALUE"""),1.2166666666666666)</f>
        <v>1.216666667</v>
      </c>
      <c r="U21" s="4"/>
      <c r="V21" s="4"/>
      <c r="W21" s="4">
        <f>IFERROR(__xludf.DUMMYFUNCTION("""COMPUTED_VALUE"""),4.5)</f>
        <v>4.5</v>
      </c>
      <c r="X21" s="4"/>
      <c r="Y21" s="4">
        <f>IFERROR(__xludf.DUMMYFUNCTION("""COMPUTED_VALUE"""),2262159.0)</f>
        <v>2262159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4">
        <f>IFERROR(__xludf.DUMMYFUNCTION("""COMPUTED_VALUE"""),5.0)</f>
        <v>5</v>
      </c>
      <c r="D22" s="4">
        <f>IFERROR(__xludf.DUMMYFUNCTION("""COMPUTED_VALUE"""),3.8)</f>
        <v>3.8</v>
      </c>
      <c r="E22" s="4">
        <f>IFERROR(__xludf.DUMMYFUNCTION("""COMPUTED_VALUE"""),5.0)</f>
        <v>5</v>
      </c>
      <c r="F22" s="4"/>
      <c r="G22" s="4">
        <f>IFERROR(__xludf.DUMMYFUNCTION("""COMPUTED_VALUE"""),4.7)</f>
        <v>4.7</v>
      </c>
      <c r="H22" s="4"/>
      <c r="I22" s="4">
        <f>IFERROR(__xludf.DUMMYFUNCTION("""COMPUTED_VALUE"""),2.4)</f>
        <v>2.4</v>
      </c>
      <c r="J22" s="4">
        <f>IFERROR(__xludf.DUMMYFUNCTION("""COMPUTED_VALUE"""),3.0)</f>
        <v>3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/>
      <c r="P22" s="4">
        <f>IFERROR(__xludf.DUMMYFUNCTION("""COMPUTED_VALUE"""),5.0)</f>
        <v>5</v>
      </c>
      <c r="Q22" s="4"/>
      <c r="R22" s="4"/>
      <c r="S22" s="6">
        <f>IFERROR(__xludf.DUMMYFUNCTION("""COMPUTED_VALUE"""),3.64)</f>
        <v>3.64</v>
      </c>
      <c r="T22" s="9">
        <f>IFERROR(__xludf.DUMMYFUNCTION("""COMPUTED_VALUE"""),1.2133333333333334)</f>
        <v>1.213333333</v>
      </c>
      <c r="U22" s="4"/>
      <c r="V22" s="4"/>
      <c r="W22" s="4">
        <f>IFERROR(__xludf.DUMMYFUNCTION("""COMPUTED_VALUE"""),4.7)</f>
        <v>4.7</v>
      </c>
      <c r="X22" s="4"/>
      <c r="Y22" s="4">
        <f>IFERROR(__xludf.DUMMYFUNCTION("""COMPUTED_VALUE"""),2261724.0)</f>
        <v>2261724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4">
        <f>IFERROR(__xludf.DUMMYFUNCTION("""COMPUTED_VALUE"""),5.0)</f>
        <v>5</v>
      </c>
      <c r="D23" s="4">
        <f>IFERROR(__xludf.DUMMYFUNCTION("""COMPUTED_VALUE"""),5.0)</f>
        <v>5</v>
      </c>
      <c r="E23" s="4">
        <f>IFERROR(__xludf.DUMMYFUNCTION("""COMPUTED_VALUE"""),5.0)</f>
        <v>5</v>
      </c>
      <c r="F23" s="4"/>
      <c r="G23" s="4">
        <f>IFERROR(__xludf.DUMMYFUNCTION("""COMPUTED_VALUE"""),5.0)</f>
        <v>5</v>
      </c>
      <c r="H23" s="4"/>
      <c r="I23" s="4">
        <f>IFERROR(__xludf.DUMMYFUNCTION("""COMPUTED_VALUE"""),2.5)</f>
        <v>2.5</v>
      </c>
      <c r="J23" s="4">
        <f>IFERROR(__xludf.DUMMYFUNCTION("""COMPUTED_VALUE"""),5.0)</f>
        <v>5</v>
      </c>
      <c r="K23" s="4">
        <f>IFERROR(__xludf.DUMMYFUNCTION("""COMPUTED_VALUE"""),5.0)</f>
        <v>5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/>
      <c r="P23" s="4">
        <f>IFERROR(__xludf.DUMMYFUNCTION("""COMPUTED_VALUE"""),5.0)</f>
        <v>5</v>
      </c>
      <c r="Q23" s="4"/>
      <c r="R23" s="4"/>
      <c r="S23" s="6">
        <f>IFERROR(__xludf.DUMMYFUNCTION("""COMPUTED_VALUE"""),4.0)</f>
        <v>4</v>
      </c>
      <c r="T23" s="9">
        <f>IFERROR(__xludf.DUMMYFUNCTION("""COMPUTED_VALUE"""),1.3333333333333333)</f>
        <v>1.333333333</v>
      </c>
      <c r="U23" s="4"/>
      <c r="V23" s="4"/>
      <c r="W23" s="4">
        <f>IFERROR(__xludf.DUMMYFUNCTION("""COMPUTED_VALUE"""),5.0)</f>
        <v>5</v>
      </c>
      <c r="X23" s="4"/>
      <c r="Y23" s="4">
        <f>IFERROR(__xludf.DUMMYFUNCTION("""COMPUTED_VALUE"""),2262163.0)</f>
        <v>2262163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4">
        <f>IFERROR(__xludf.DUMMYFUNCTION("""COMPUTED_VALUE"""),4.5)</f>
        <v>4.5</v>
      </c>
      <c r="D24" s="4">
        <f>IFERROR(__xludf.DUMMYFUNCTION("""COMPUTED_VALUE"""),4.5)</f>
        <v>4.5</v>
      </c>
      <c r="E24" s="4">
        <f>IFERROR(__xludf.DUMMYFUNCTION("""COMPUTED_VALUE"""),4.4)</f>
        <v>4.4</v>
      </c>
      <c r="F24" s="4"/>
      <c r="G24" s="4">
        <f>IFERROR(__xludf.DUMMYFUNCTION("""COMPUTED_VALUE"""),4.8)</f>
        <v>4.8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>
        <f>IFERROR(__xludf.DUMMYFUNCTION("""COMPUTED_VALUE"""),5.0)</f>
        <v>5</v>
      </c>
      <c r="Q24" s="4"/>
      <c r="R24" s="4"/>
      <c r="S24" s="6">
        <f>IFERROR(__xludf.DUMMYFUNCTION("""COMPUTED_VALUE"""),3.64)</f>
        <v>3.64</v>
      </c>
      <c r="T24" s="9">
        <f>IFERROR(__xludf.DUMMYFUNCTION("""COMPUTED_VALUE"""),1.2133333333333334)</f>
        <v>1.213333333</v>
      </c>
      <c r="U24" s="4"/>
      <c r="V24" s="4"/>
      <c r="W24" s="4">
        <f>IFERROR(__xludf.DUMMYFUNCTION("""COMPUTED_VALUE"""),4.8)</f>
        <v>4.8</v>
      </c>
      <c r="X24" s="4"/>
      <c r="Y24" s="4">
        <f>IFERROR(__xludf.DUMMYFUNCTION("""COMPUTED_VALUE"""),2261994.0)</f>
        <v>2261994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4">
        <f>IFERROR(__xludf.DUMMYFUNCTION("""COMPUTED_VALUE"""),5.0)</f>
        <v>5</v>
      </c>
      <c r="D25" s="4">
        <f>IFERROR(__xludf.DUMMYFUNCTION("""COMPUTED_VALUE"""),3.9)</f>
        <v>3.9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>
        <f>IFERROR(__xludf.DUMMYFUNCTION("""COMPUTED_VALUE"""),5.0)</f>
        <v>5</v>
      </c>
      <c r="Q25" s="4"/>
      <c r="R25" s="4"/>
      <c r="S25" s="6">
        <f>IFERROR(__xludf.DUMMYFUNCTION("""COMPUTED_VALUE"""),3.725)</f>
        <v>3.725</v>
      </c>
      <c r="T25" s="9">
        <f>IFERROR(__xludf.DUMMYFUNCTION("""COMPUTED_VALUE"""),1.2416666666666667)</f>
        <v>1.241666667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IFERROR(__xludf.DUMMYFUNCTION("""COMPUTED_VALUE"""),2261922.0)</f>
        <v>2261922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4">
        <f>IFERROR(__xludf.DUMMYFUNCTION("""COMPUTED_VALUE"""),3.4)</f>
        <v>3.4</v>
      </c>
      <c r="D26" s="4">
        <f>IFERROR(__xludf.DUMMYFUNCTION("""COMPUTED_VALUE"""),0.0)</f>
        <v>0</v>
      </c>
      <c r="E26" s="4">
        <f>IFERROR(__xludf.DUMMYFUNCTION("""COMPUTED_VALUE"""),0.0)</f>
        <v>0</v>
      </c>
      <c r="F26" s="4"/>
      <c r="G26" s="4">
        <f>IFERROR(__xludf.DUMMYFUNCTION("""COMPUTED_VALUE"""),2.2)</f>
        <v>2.2</v>
      </c>
      <c r="H26" s="4"/>
      <c r="I26" s="4">
        <f>IFERROR(__xludf.DUMMYFUNCTION("""COMPUTED_VALUE"""),1.1)</f>
        <v>1.1</v>
      </c>
      <c r="J26" s="4">
        <f>IFERROR(__xludf.DUMMYFUNCTION("""COMPUTED_VALUE"""),3.5)</f>
        <v>3.5</v>
      </c>
      <c r="K26" s="4">
        <f>IFERROR(__xludf.DUMMYFUNCTION("""COMPUTED_VALUE"""),4.5)</f>
        <v>4.5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IFERROR(__xludf.DUMMYFUNCTION("""COMPUTED_VALUE"""),0.0)</f>
        <v>0</v>
      </c>
      <c r="O26" s="4"/>
      <c r="P26" s="4">
        <f>IFERROR(__xludf.DUMMYFUNCTION("""COMPUTED_VALUE"""),0.0)</f>
        <v>0</v>
      </c>
      <c r="Q26" s="4"/>
      <c r="R26" s="4"/>
      <c r="S26" s="6">
        <f>IFERROR(__xludf.DUMMYFUNCTION("""COMPUTED_VALUE"""),0.9500000000000001)</f>
        <v>0.95</v>
      </c>
      <c r="T26" s="9">
        <f>IFERROR(__xludf.DUMMYFUNCTION("""COMPUTED_VALUE"""),0.3166666666666667)</f>
        <v>0.3166666667</v>
      </c>
      <c r="U26" s="4"/>
      <c r="V26" s="4"/>
      <c r="W26" s="4">
        <f>IFERROR(__xludf.DUMMYFUNCTION("""COMPUTED_VALUE"""),2.2)</f>
        <v>2.2</v>
      </c>
      <c r="X26" s="4"/>
      <c r="Y26" s="4">
        <f>IFERROR(__xludf.DUMMYFUNCTION("""COMPUTED_VALUE"""),2261853.0)</f>
        <v>2261853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4">
        <f>IFERROR(__xludf.DUMMYFUNCTION("""COMPUTED_VALUE"""),3.2)</f>
        <v>3.2</v>
      </c>
      <c r="D27" s="4">
        <f>IFERROR(__xludf.DUMMYFUNCTION("""COMPUTED_VALUE"""),2.5)</f>
        <v>2.5</v>
      </c>
      <c r="E27" s="4">
        <f>IFERROR(__xludf.DUMMYFUNCTION("""COMPUTED_VALUE"""),3.0)</f>
        <v>3</v>
      </c>
      <c r="F27" s="4"/>
      <c r="G27" s="4">
        <f>IFERROR(__xludf.DUMMYFUNCTION("""COMPUTED_VALUE"""),4.5)</f>
        <v>4.5</v>
      </c>
      <c r="H27" s="4"/>
      <c r="I27" s="4">
        <f>IFERROR(__xludf.DUMMYFUNCTION("""COMPUTED_VALUE"""),2.3)</f>
        <v>2.3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/>
      <c r="P27" s="4">
        <f>IFERROR(__xludf.DUMMYFUNCTION("""COMPUTED_VALUE"""),5.0)</f>
        <v>5</v>
      </c>
      <c r="Q27" s="4"/>
      <c r="R27" s="4"/>
      <c r="S27" s="6">
        <f>IFERROR(__xludf.DUMMYFUNCTION("""COMPUTED_VALUE"""),2.605)</f>
        <v>2.605</v>
      </c>
      <c r="T27" s="9">
        <f>IFERROR(__xludf.DUMMYFUNCTION("""COMPUTED_VALUE"""),0.8683333333333333)</f>
        <v>0.8683333333</v>
      </c>
      <c r="U27" s="4"/>
      <c r="V27" s="4"/>
      <c r="W27" s="4">
        <f>IFERROR(__xludf.DUMMYFUNCTION("""COMPUTED_VALUE"""),4.5)</f>
        <v>4.5</v>
      </c>
      <c r="X27" s="4"/>
      <c r="Y27" s="4">
        <f>IFERROR(__xludf.DUMMYFUNCTION("""COMPUTED_VALUE"""),2262071.0)</f>
        <v>2262071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4">
        <f>IFERROR(__xludf.DUMMYFUNCTION("""COMPUTED_VALUE"""),3.4)</f>
        <v>3.4</v>
      </c>
      <c r="D28" s="4">
        <f>IFERROR(__xludf.DUMMYFUNCTION("""COMPUTED_VALUE"""),3.0)</f>
        <v>3</v>
      </c>
      <c r="E28" s="4">
        <f>IFERROR(__xludf.DUMMYFUNCTION("""COMPUTED_VALUE"""),4.0)</f>
        <v>4</v>
      </c>
      <c r="F28" s="4"/>
      <c r="G28" s="4">
        <f>IFERROR(__xludf.DUMMYFUNCTION("""COMPUTED_VALUE"""),4.5)</f>
        <v>4.5</v>
      </c>
      <c r="H28" s="4"/>
      <c r="I28" s="4">
        <f>IFERROR(__xludf.DUMMYFUNCTION("""COMPUTED_VALUE"""),2.3)</f>
        <v>2.3</v>
      </c>
      <c r="J28" s="4">
        <f>IFERROR(__xludf.DUMMYFUNCTION("""COMPUTED_VALUE"""),2.0)</f>
        <v>2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>
        <f>IFERROR(__xludf.DUMMYFUNCTION("""COMPUTED_VALUE"""),5.0)</f>
        <v>5</v>
      </c>
      <c r="Q28" s="4"/>
      <c r="R28" s="4"/>
      <c r="S28" s="6">
        <f>IFERROR(__xludf.DUMMYFUNCTION("""COMPUTED_VALUE"""),2.96)</f>
        <v>2.96</v>
      </c>
      <c r="T28" s="9">
        <f>IFERROR(__xludf.DUMMYFUNCTION("""COMPUTED_VALUE"""),0.9866666666666667)</f>
        <v>0.9866666667</v>
      </c>
      <c r="U28" s="4"/>
      <c r="V28" s="4"/>
      <c r="W28" s="4">
        <f>IFERROR(__xludf.DUMMYFUNCTION("""COMPUTED_VALUE"""),4.5)</f>
        <v>4.5</v>
      </c>
      <c r="X28" s="4"/>
      <c r="Y28" s="4">
        <f>IFERROR(__xludf.DUMMYFUNCTION("""COMPUTED_VALUE"""),2262009.0)</f>
        <v>2262009</v>
      </c>
      <c r="Z28" s="4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