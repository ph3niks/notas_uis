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1" sheetId="1" r:id="rId5"/>
    <sheet state="visible" name="PF3" sheetId="2" r:id="rId6"/>
    <sheet state="visible" name="PED" sheetId="3" r:id="rId7"/>
    <sheet state="visible" name="PF1" sheetId="4" r:id="rId8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FF"/>
      <name val="Arial"/>
      <scheme val="minor"/>
    </font>
    <font>
      <b/>
      <color rgb="FF660000"/>
      <name val="Arial"/>
      <scheme val="minor"/>
    </font>
    <font>
      <b/>
      <color rgb="FF980000"/>
      <name val="Arial"/>
      <scheme val="minor"/>
    </font>
    <font>
      <b/>
      <color rgb="FF20124D"/>
      <name val="Arial"/>
      <scheme val="minor"/>
    </font>
    <font>
      <b/>
      <color rgb="FF9900FF"/>
      <name val="Arial"/>
      <scheme val="minor"/>
    </font>
    <font>
      <color rgb="FF000000"/>
      <name val="Arial"/>
      <scheme val="minor"/>
    </font>
    <font>
      <b/>
      <color rgb="FFFF0000"/>
      <name val="Arial"/>
      <scheme val="minor"/>
    </font>
    <font>
      <b/>
      <color rgb="FF351C75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2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/>
    </xf>
    <xf borderId="0" fillId="4" fontId="1" numFmtId="0" xfId="0" applyAlignment="1" applyFill="1" applyFont="1">
      <alignment horizontal="center"/>
    </xf>
    <xf borderId="0" fillId="4" fontId="1" numFmtId="0" xfId="0" applyAlignment="1" applyFill="1" applyFont="1">
      <alignment horizontal="left"/>
    </xf>
    <xf borderId="0" fillId="0" fontId="1" numFmtId="2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4" fontId="1" numFmtId="0" xfId="0" applyAlignment="1" applyFill="1" applyFont="1">
      <alignment horizontal="left" readingOrder="0"/>
    </xf>
    <xf borderId="0" fillId="0" fontId="4" numFmtId="16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164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9" numFmtId="2" xfId="0" applyAlignment="1" applyFont="1" applyNumberFormat="1">
      <alignment horizontal="center"/>
    </xf>
    <xf borderId="0" fillId="0" fontId="3" numFmtId="0" xfId="0" applyFont="1"/>
  </cellXfs>
  <cellStyles count="1">
    <cellStyle xfId="0" name="Normal" builtinId="0"/>
  </cellStyles>
  <dxfs count="5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>
        <color theme="0"/>
      </font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88"/>
    <col customWidth="1" min="2" max="2" width="40.88"/>
    <col customWidth="1" min="3" max="7" width="3.88"/>
    <col customWidth="1" min="8" max="8" width="6.75"/>
    <col customWidth="1" min="9" max="10" width="3.88"/>
    <col customWidth="1" min="11" max="11" width="4.5"/>
    <col customWidth="1" min="12" max="13" width="3.88"/>
    <col customWidth="1" min="14" max="14" width="4.75"/>
    <col customWidth="1" min="15" max="15" width="5.75"/>
    <col customWidth="1" min="16" max="17" width="3.88"/>
    <col customWidth="1" min="18" max="18" width="6.0"/>
    <col customWidth="1" min="19" max="19" width="7.0"/>
    <col customWidth="1" min="20" max="20" width="7.5"/>
    <col customWidth="1" min="21" max="22" width="3.88"/>
    <col customWidth="1" min="23" max="23" width="6.13"/>
    <col customWidth="1" min="24" max="24" width="7.25"/>
    <col customWidth="1" min="25" max="37" width="3.88"/>
  </cols>
  <sheetData>
    <row r="1">
      <c r="A1" s="1" t="str">
        <f>IFERROR(__xludf.DUMMYFUNCTION("IMPORTRANGE(""1ZPOqQHbu3GgkppWiT-MJmzSSa45xtiJhgLbHBetpC4Q"",""CALCULO2!A1:O34"")"),"No")</f>
        <v>No</v>
      </c>
      <c r="B1" s="2" t="str">
        <f>IFERROR(__xludf.DUMMYFUNCTION("""COMPUTED_VALUE"""),"ESTUDIANTE")</f>
        <v>ESTUDIANTE</v>
      </c>
      <c r="C1" s="3" t="str">
        <f>IFERROR(__xludf.DUMMYFUNCTION("""COMPUTED_VALUE"""),"P1")</f>
        <v>P1</v>
      </c>
      <c r="D1" s="3" t="str">
        <f>IFERROR(__xludf.DUMMYFUNCTION("""COMPUTED_VALUE"""),"P2")</f>
        <v>P2</v>
      </c>
      <c r="E1" s="3" t="str">
        <f>IFERROR(__xludf.DUMMYFUNCTION("""COMPUTED_VALUE"""),"P3")</f>
        <v>P3</v>
      </c>
      <c r="F1" s="3" t="str">
        <f>IFERROR(__xludf.DUMMYFUNCTION("""COMPUTED_VALUE"""),"P4")</f>
        <v>P4</v>
      </c>
      <c r="G1" s="4" t="str">
        <f>IFERROR(__xludf.DUMMYFUNCTION("""COMPUTED_VALUE"""),"PQT")</f>
        <v>PQT</v>
      </c>
      <c r="H1" s="5" t="str">
        <f>IFERROR(__xludf.DUMMYFUNCTION("""COMPUTED_VALUE"""),"ALEKS")</f>
        <v>ALEKS</v>
      </c>
      <c r="I1" s="1" t="str">
        <f>IFERROR(__xludf.DUMMYFUNCTION("""COMPUTED_VALUE"""),"Q1")</f>
        <v>Q1</v>
      </c>
      <c r="J1" s="1" t="str">
        <f>IFERROR(__xludf.DUMMYFUNCTION("""COMPUTED_VALUE"""),"Tr1")</f>
        <v>Tr1</v>
      </c>
      <c r="K1" s="1" t="str">
        <f>IFERROR(__xludf.DUMMYFUNCTION("""COMPUTED_VALUE"""),"Ma1")</f>
        <v>Ma1</v>
      </c>
      <c r="L1" s="1" t="str">
        <f>IFERROR(__xludf.DUMMYFUNCTION("""COMPUTED_VALUE"""),"Q2")</f>
        <v>Q2</v>
      </c>
      <c r="M1" s="1" t="str">
        <f>IFERROR(__xludf.DUMMYFUNCTION("""COMPUTED_VALUE"""),"Q3")</f>
        <v>Q3</v>
      </c>
      <c r="N1" s="1" t="str">
        <f>IFERROR(__xludf.DUMMYFUNCTION("""COMPUTED_VALUE"""),"Tr2")</f>
        <v>Tr2</v>
      </c>
      <c r="O1" s="1" t="str">
        <f>IFERROR(__xludf.DUMMYFUNCTION("""COMPUTED_VALUE"""),"Ma2")</f>
        <v>Ma2</v>
      </c>
      <c r="P1" s="1"/>
      <c r="Q1" s="1"/>
      <c r="R1" s="1"/>
      <c r="S1" s="1"/>
      <c r="T1" s="1"/>
      <c r="U1" s="1"/>
      <c r="V1" s="1"/>
      <c r="W1" s="1"/>
      <c r="X1" s="1"/>
    </row>
    <row r="2">
      <c r="A2" s="8">
        <f>IFERROR(__xludf.DUMMYFUNCTION("""COMPUTED_VALUE"""),1.0)</f>
        <v>1</v>
      </c>
      <c r="B2" s="9" t="str">
        <f>IFERROR(__xludf.DUMMYFUNCTION("""COMPUTED_VALUE"""),"ALVAREZ LOAIZA MARIO ANDRES")</f>
        <v>ALVAREZ LOAIZA MARIO ANDRES</v>
      </c>
      <c r="C2" s="10">
        <f>IFERROR(__xludf.DUMMYFUNCTION("""COMPUTED_VALUE"""),5.0)</f>
        <v>5</v>
      </c>
      <c r="D2" s="10">
        <f>IFERROR(__xludf.DUMMYFUNCTION("""COMPUTED_VALUE"""),5.0)</f>
        <v>5</v>
      </c>
      <c r="E2" s="10"/>
      <c r="F2" s="10"/>
      <c r="G2" s="12">
        <f>IFERROR(__xludf.DUMMYFUNCTION("""COMPUTED_VALUE"""),4.8100000000000005)</f>
        <v>4.81</v>
      </c>
      <c r="H2" s="14">
        <f>IFERROR(__xludf.DUMMYFUNCTION("""COMPUTED_VALUE"""),4.5)</f>
        <v>4.5</v>
      </c>
      <c r="I2" s="8">
        <f>IFERROR(__xludf.DUMMYFUNCTION("""COMPUTED_VALUE"""),5.0)</f>
        <v>5</v>
      </c>
      <c r="J2" s="8">
        <f>IFERROR(__xludf.DUMMYFUNCTION("""COMPUTED_VALUE"""),5.0)</f>
        <v>5</v>
      </c>
      <c r="K2" s="8">
        <f>IFERROR(__xludf.DUMMYFUNCTION("""COMPUTED_VALUE"""),3.46)</f>
        <v>3.46</v>
      </c>
      <c r="L2" s="8">
        <f>IFERROR(__xludf.DUMMYFUNCTION("""COMPUTED_VALUE"""),4.75)</f>
        <v>4.75</v>
      </c>
      <c r="M2" s="8">
        <f>IFERROR(__xludf.DUMMYFUNCTION("""COMPUTED_VALUE"""),4.3)</f>
        <v>4.3</v>
      </c>
      <c r="N2" s="18">
        <f>IFERROR(__xludf.DUMMYFUNCTION("""COMPUTED_VALUE"""),5.0)</f>
        <v>5</v>
      </c>
      <c r="O2" s="8">
        <f>IFERROR(__xludf.DUMMYFUNCTION("""COMPUTED_VALUE"""),5.0)</f>
        <v>5</v>
      </c>
      <c r="P2" s="8"/>
      <c r="Q2" s="8"/>
      <c r="R2" s="8"/>
      <c r="S2" s="8"/>
      <c r="T2" s="8"/>
      <c r="U2" s="8"/>
      <c r="V2" s="8"/>
      <c r="W2" s="8"/>
      <c r="X2" s="8"/>
    </row>
    <row r="3">
      <c r="A3" s="8">
        <f>IFERROR(__xludf.DUMMYFUNCTION("""COMPUTED_VALUE"""),2.0)</f>
        <v>2</v>
      </c>
      <c r="B3" s="9" t="str">
        <f>IFERROR(__xludf.DUMMYFUNCTION("""COMPUTED_VALUE"""),"AMADO HERNANDEZ NIKOL JIMENA")</f>
        <v>AMADO HERNANDEZ NIKOL JIMENA</v>
      </c>
      <c r="C3" s="10">
        <f>IFERROR(__xludf.DUMMYFUNCTION("""COMPUTED_VALUE"""),4.7)</f>
        <v>4.7</v>
      </c>
      <c r="D3" s="10">
        <f>IFERROR(__xludf.DUMMYFUNCTION("""COMPUTED_VALUE"""),1.8)</f>
        <v>1.8</v>
      </c>
      <c r="E3" s="10"/>
      <c r="F3" s="10"/>
      <c r="G3" s="12">
        <f>IFERROR(__xludf.DUMMYFUNCTION("""COMPUTED_VALUE"""),3.6799999999999997)</f>
        <v>3.68</v>
      </c>
      <c r="H3" s="14">
        <f>IFERROR(__xludf.DUMMYFUNCTION("""COMPUTED_VALUE"""),1.7)</f>
        <v>1.7</v>
      </c>
      <c r="I3" s="8">
        <f>IFERROR(__xludf.DUMMYFUNCTION("""COMPUTED_VALUE"""),3.5)</f>
        <v>3.5</v>
      </c>
      <c r="J3" s="8">
        <f>IFERROR(__xludf.DUMMYFUNCTION("""COMPUTED_VALUE"""),5.0)</f>
        <v>5</v>
      </c>
      <c r="K3" s="8">
        <f>IFERROR(__xludf.DUMMYFUNCTION("""COMPUTED_VALUE"""),0.0)</f>
        <v>0</v>
      </c>
      <c r="L3" s="8">
        <f>IFERROR(__xludf.DUMMYFUNCTION("""COMPUTED_VALUE"""),3.2)</f>
        <v>3.2</v>
      </c>
      <c r="M3" s="8">
        <f>IFERROR(__xludf.DUMMYFUNCTION("""COMPUTED_VALUE"""),1.7000000000000002)</f>
        <v>1.7</v>
      </c>
      <c r="N3" s="18">
        <f>IFERROR(__xludf.DUMMYFUNCTION("""COMPUTED_VALUE"""),5.0)</f>
        <v>5</v>
      </c>
      <c r="O3" s="8">
        <f>IFERROR(__xludf.DUMMYFUNCTION("""COMPUTED_VALUE"""),4.7)</f>
        <v>4.7</v>
      </c>
      <c r="P3" s="8"/>
      <c r="Q3" s="8"/>
      <c r="R3" s="8"/>
      <c r="S3" s="8"/>
      <c r="T3" s="8"/>
      <c r="U3" s="8"/>
      <c r="V3" s="8"/>
      <c r="W3" s="8"/>
      <c r="X3" s="8"/>
    </row>
    <row r="4">
      <c r="A4" s="8">
        <f>IFERROR(__xludf.DUMMYFUNCTION("""COMPUTED_VALUE"""),3.0)</f>
        <v>3</v>
      </c>
      <c r="B4" s="9" t="str">
        <f>IFERROR(__xludf.DUMMYFUNCTION("""COMPUTED_VALUE"""),"AMAYA JAIMES MIGUEL ENRIQUE")</f>
        <v>AMAYA JAIMES MIGUEL ENRIQUE</v>
      </c>
      <c r="C4" s="10">
        <f>IFERROR(__xludf.DUMMYFUNCTION("""COMPUTED_VALUE"""),4.4)</f>
        <v>4.4</v>
      </c>
      <c r="D4" s="10">
        <f>IFERROR(__xludf.DUMMYFUNCTION("""COMPUTED_VALUE"""),1.3)</f>
        <v>1.3</v>
      </c>
      <c r="E4" s="10"/>
      <c r="F4" s="10"/>
      <c r="G4" s="12">
        <f>IFERROR(__xludf.DUMMYFUNCTION("""COMPUTED_VALUE"""),3.5700000000000003)</f>
        <v>3.57</v>
      </c>
      <c r="H4" s="14">
        <f>IFERROR(__xludf.DUMMYFUNCTION("""COMPUTED_VALUE"""),1.3)</f>
        <v>1.3</v>
      </c>
      <c r="I4" s="8">
        <f>IFERROR(__xludf.DUMMYFUNCTION("""COMPUTED_VALUE"""),1.0)</f>
        <v>1</v>
      </c>
      <c r="J4" s="8">
        <f>IFERROR(__xludf.DUMMYFUNCTION("""COMPUTED_VALUE"""),5.0)</f>
        <v>5</v>
      </c>
      <c r="K4" s="8">
        <f>IFERROR(__xludf.DUMMYFUNCTION("""COMPUTED_VALUE"""),0.0)</f>
        <v>0</v>
      </c>
      <c r="L4" s="8">
        <f>IFERROR(__xludf.DUMMYFUNCTION("""COMPUTED_VALUE"""),2.6500000000000004)</f>
        <v>2.65</v>
      </c>
      <c r="M4" s="8">
        <f>IFERROR(__xludf.DUMMYFUNCTION("""COMPUTED_VALUE"""),4.2)</f>
        <v>4.2</v>
      </c>
      <c r="N4" s="18">
        <f>IFERROR(__xludf.DUMMYFUNCTION("""COMPUTED_VALUE"""),5.0)</f>
        <v>5</v>
      </c>
      <c r="O4" s="8">
        <f>IFERROR(__xludf.DUMMYFUNCTION("""COMPUTED_VALUE"""),1.4000000000000001)</f>
        <v>1.4</v>
      </c>
      <c r="P4" s="8"/>
      <c r="Q4" s="8"/>
      <c r="R4" s="8"/>
      <c r="S4" s="8"/>
      <c r="T4" s="8"/>
      <c r="U4" s="8"/>
      <c r="V4" s="8"/>
      <c r="W4" s="8"/>
      <c r="X4" s="8"/>
    </row>
    <row r="5">
      <c r="A5" s="8">
        <f>IFERROR(__xludf.DUMMYFUNCTION("""COMPUTED_VALUE"""),4.0)</f>
        <v>4</v>
      </c>
      <c r="B5" s="9" t="str">
        <f>IFERROR(__xludf.DUMMYFUNCTION("""COMPUTED_VALUE"""),"AMAYA VILLAMIZAR ANDRES SEBASTIAN")</f>
        <v>AMAYA VILLAMIZAR ANDRES SEBASTIAN</v>
      </c>
      <c r="C5" s="10">
        <f>IFERROR(__xludf.DUMMYFUNCTION("""COMPUTED_VALUE"""),0.1)</f>
        <v>0.1</v>
      </c>
      <c r="D5" s="10">
        <f>IFERROR(__xludf.DUMMYFUNCTION("""COMPUTED_VALUE"""),0.0)</f>
        <v>0</v>
      </c>
      <c r="E5" s="10"/>
      <c r="F5" s="10"/>
      <c r="G5" s="12">
        <f>IFERROR(__xludf.DUMMYFUNCTION("""COMPUTED_VALUE"""),0.1)</f>
        <v>0.1</v>
      </c>
      <c r="H5" s="14">
        <f>IFERROR(__xludf.DUMMYFUNCTION("""COMPUTED_VALUE"""),0.0)</f>
        <v>0</v>
      </c>
      <c r="I5" s="8">
        <f>IFERROR(__xludf.DUMMYFUNCTION("""COMPUTED_VALUE"""),0.5)</f>
        <v>0.5</v>
      </c>
      <c r="J5" s="8">
        <f>IFERROR(__xludf.DUMMYFUNCTION("""COMPUTED_VALUE"""),0.0)</f>
        <v>0</v>
      </c>
      <c r="K5" s="8">
        <f>IFERROR(__xludf.DUMMYFUNCTION("""COMPUTED_VALUE"""),0.0)</f>
        <v>0</v>
      </c>
      <c r="L5" s="8">
        <f>IFERROR(__xludf.DUMMYFUNCTION("""COMPUTED_VALUE"""),0.0)</f>
        <v>0</v>
      </c>
      <c r="M5" s="8">
        <f>IFERROR(__xludf.DUMMYFUNCTION("""COMPUTED_VALUE"""),0.0)</f>
        <v>0</v>
      </c>
      <c r="N5" s="18">
        <f>IFERROR(__xludf.DUMMYFUNCTION("""COMPUTED_VALUE"""),0.0)</f>
        <v>0</v>
      </c>
      <c r="O5" s="8">
        <f>IFERROR(__xludf.DUMMYFUNCTION("""COMPUTED_VALUE"""),0.0)</f>
        <v>0</v>
      </c>
      <c r="P5" s="8"/>
      <c r="Q5" s="8"/>
      <c r="R5" s="8"/>
      <c r="S5" s="8"/>
      <c r="T5" s="8"/>
      <c r="U5" s="8"/>
      <c r="V5" s="8"/>
      <c r="W5" s="8"/>
      <c r="X5" s="8"/>
    </row>
    <row r="6">
      <c r="A6" s="8">
        <f>IFERROR(__xludf.DUMMYFUNCTION("""COMPUTED_VALUE"""),5.0)</f>
        <v>5</v>
      </c>
      <c r="B6" s="9" t="str">
        <f>IFERROR(__xludf.DUMMYFUNCTION("""COMPUTED_VALUE"""),"BAEZ ZAMBRANO JERONIMO")</f>
        <v>BAEZ ZAMBRANO JERONIMO</v>
      </c>
      <c r="C6" s="10">
        <f>IFERROR(__xludf.DUMMYFUNCTION("""COMPUTED_VALUE"""),5.0)</f>
        <v>5</v>
      </c>
      <c r="D6" s="10">
        <f>IFERROR(__xludf.DUMMYFUNCTION("""COMPUTED_VALUE"""),1.8)</f>
        <v>1.8</v>
      </c>
      <c r="E6" s="10"/>
      <c r="F6" s="10"/>
      <c r="G6" s="12">
        <f>IFERROR(__xludf.DUMMYFUNCTION("""COMPUTED_VALUE"""),2.0)</f>
        <v>2</v>
      </c>
      <c r="H6" s="14">
        <f>IFERROR(__xludf.DUMMYFUNCTION("""COMPUTED_VALUE"""),0.0)</f>
        <v>0</v>
      </c>
      <c r="I6" s="8">
        <f>IFERROR(__xludf.DUMMYFUNCTION("""COMPUTED_VALUE"""),0.0)</f>
        <v>0</v>
      </c>
      <c r="J6" s="8">
        <f>IFERROR(__xludf.DUMMYFUNCTION("""COMPUTED_VALUE"""),5.0)</f>
        <v>5</v>
      </c>
      <c r="K6" s="8">
        <f>IFERROR(__xludf.DUMMYFUNCTION("""COMPUTED_VALUE"""),0.0)</f>
        <v>0</v>
      </c>
      <c r="L6" s="8">
        <f>IFERROR(__xludf.DUMMYFUNCTION("""COMPUTED_VALUE"""),0.0)</f>
        <v>0</v>
      </c>
      <c r="M6" s="8">
        <f>IFERROR(__xludf.DUMMYFUNCTION("""COMPUTED_VALUE"""),0.0)</f>
        <v>0</v>
      </c>
      <c r="N6" s="18">
        <f>IFERROR(__xludf.DUMMYFUNCTION("""COMPUTED_VALUE"""),5.0)</f>
        <v>5</v>
      </c>
      <c r="O6" s="8">
        <f>IFERROR(__xludf.DUMMYFUNCTION("""COMPUTED_VALUE"""),0.0)</f>
        <v>0</v>
      </c>
      <c r="P6" s="8"/>
      <c r="Q6" s="8"/>
      <c r="R6" s="8"/>
      <c r="S6" s="8"/>
      <c r="T6" s="8"/>
      <c r="U6" s="8"/>
      <c r="V6" s="8"/>
      <c r="W6" s="8"/>
      <c r="X6" s="8"/>
    </row>
    <row r="7">
      <c r="A7" s="8">
        <f>IFERROR(__xludf.DUMMYFUNCTION("""COMPUTED_VALUE"""),6.0)</f>
        <v>6</v>
      </c>
      <c r="B7" s="9" t="str">
        <f>IFERROR(__xludf.DUMMYFUNCTION("""COMPUTED_VALUE"""),"BETANCOURT ROA SHERMAN")</f>
        <v>BETANCOURT ROA SHERMAN</v>
      </c>
      <c r="C7" s="10">
        <f>IFERROR(__xludf.DUMMYFUNCTION("""COMPUTED_VALUE"""),1.9)</f>
        <v>1.9</v>
      </c>
      <c r="D7" s="10">
        <f>IFERROR(__xludf.DUMMYFUNCTION("""COMPUTED_VALUE"""),0.8)</f>
        <v>0.8</v>
      </c>
      <c r="E7" s="10"/>
      <c r="F7" s="10"/>
      <c r="G7" s="12">
        <f>IFERROR(__xludf.DUMMYFUNCTION("""COMPUTED_VALUE"""),1.22)</f>
        <v>1.22</v>
      </c>
      <c r="H7" s="14">
        <f>IFERROR(__xludf.DUMMYFUNCTION("""COMPUTED_VALUE"""),0.0)</f>
        <v>0</v>
      </c>
      <c r="I7" s="8">
        <f>IFERROR(__xludf.DUMMYFUNCTION("""COMPUTED_VALUE"""),1.0)</f>
        <v>1</v>
      </c>
      <c r="J7" s="8">
        <f>IFERROR(__xludf.DUMMYFUNCTION("""COMPUTED_VALUE"""),0.0)</f>
        <v>0</v>
      </c>
      <c r="K7" s="8">
        <f>IFERROR(__xludf.DUMMYFUNCTION("""COMPUTED_VALUE"""),0.0)</f>
        <v>0</v>
      </c>
      <c r="L7" s="8">
        <f>IFERROR(__xludf.DUMMYFUNCTION("""COMPUTED_VALUE"""),0.1)</f>
        <v>0.1</v>
      </c>
      <c r="M7" s="8">
        <f>IFERROR(__xludf.DUMMYFUNCTION("""COMPUTED_VALUE"""),0.0)</f>
        <v>0</v>
      </c>
      <c r="N7" s="18">
        <f>IFERROR(__xludf.DUMMYFUNCTION("""COMPUTED_VALUE"""),5.0)</f>
        <v>5</v>
      </c>
      <c r="O7" s="8">
        <f>IFERROR(__xludf.DUMMYFUNCTION("""COMPUTED_VALUE"""),0.0)</f>
        <v>0</v>
      </c>
      <c r="P7" s="8"/>
      <c r="Q7" s="8"/>
      <c r="R7" s="8"/>
      <c r="S7" s="8"/>
      <c r="T7" s="8"/>
      <c r="U7" s="8"/>
      <c r="V7" s="8"/>
      <c r="W7" s="8"/>
      <c r="X7" s="8"/>
    </row>
    <row r="8">
      <c r="A8" s="8">
        <f>IFERROR(__xludf.DUMMYFUNCTION("""COMPUTED_VALUE"""),7.0)</f>
        <v>7</v>
      </c>
      <c r="B8" s="9" t="str">
        <f>IFERROR(__xludf.DUMMYFUNCTION("""COMPUTED_VALUE"""),"CAMARGO BONILLA MARIA ALEJANDRA")</f>
        <v>CAMARGO BONILLA MARIA ALEJANDRA</v>
      </c>
      <c r="C8" s="10">
        <f>IFERROR(__xludf.DUMMYFUNCTION("""COMPUTED_VALUE"""),5.0)</f>
        <v>5</v>
      </c>
      <c r="D8" s="10">
        <f>IFERROR(__xludf.DUMMYFUNCTION("""COMPUTED_VALUE"""),0.8)</f>
        <v>0.8</v>
      </c>
      <c r="E8" s="10"/>
      <c r="F8" s="10"/>
      <c r="G8" s="12">
        <f>IFERROR(__xludf.DUMMYFUNCTION("""COMPUTED_VALUE"""),2.7199999999999998)</f>
        <v>2.72</v>
      </c>
      <c r="H8" s="14">
        <f>IFERROR(__xludf.DUMMYFUNCTION("""COMPUTED_VALUE"""),1.1)</f>
        <v>1.1</v>
      </c>
      <c r="I8" s="8">
        <f>IFERROR(__xludf.DUMMYFUNCTION("""COMPUTED_VALUE"""),3.6)</f>
        <v>3.6</v>
      </c>
      <c r="J8" s="8">
        <f>IFERROR(__xludf.DUMMYFUNCTION("""COMPUTED_VALUE"""),5.0)</f>
        <v>5</v>
      </c>
      <c r="K8" s="8">
        <f>IFERROR(__xludf.DUMMYFUNCTION("""COMPUTED_VALUE"""),3.79)</f>
        <v>3.79</v>
      </c>
      <c r="L8" s="8">
        <f>IFERROR(__xludf.DUMMYFUNCTION("""COMPUTED_VALUE"""),0.0)</f>
        <v>0</v>
      </c>
      <c r="M8" s="8">
        <f>IFERROR(__xludf.DUMMYFUNCTION("""COMPUTED_VALUE"""),0.0)</f>
        <v>0</v>
      </c>
      <c r="N8" s="18">
        <f>IFERROR(__xludf.DUMMYFUNCTION("""COMPUTED_VALUE"""),5.0)</f>
        <v>5</v>
      </c>
      <c r="O8" s="8">
        <f>IFERROR(__xludf.DUMMYFUNCTION("""COMPUTED_VALUE"""),0.4)</f>
        <v>0.4</v>
      </c>
      <c r="P8" s="8"/>
      <c r="Q8" s="8"/>
      <c r="R8" s="8"/>
      <c r="S8" s="8"/>
      <c r="T8" s="8"/>
      <c r="U8" s="8"/>
      <c r="V8" s="8"/>
      <c r="W8" s="8"/>
      <c r="X8" s="8"/>
    </row>
    <row r="9">
      <c r="A9" s="8">
        <f>IFERROR(__xludf.DUMMYFUNCTION("""COMPUTED_VALUE"""),8.0)</f>
        <v>8</v>
      </c>
      <c r="B9" s="9" t="str">
        <f>IFERROR(__xludf.DUMMYFUNCTION("""COMPUTED_VALUE"""),"CORREA ECHEVERRI SIMON")</f>
        <v>CORREA ECHEVERRI SIMON</v>
      </c>
      <c r="C9" s="10">
        <f>IFERROR(__xludf.DUMMYFUNCTION("""COMPUTED_VALUE"""),2.4)</f>
        <v>2.4</v>
      </c>
      <c r="D9" s="10">
        <f>IFERROR(__xludf.DUMMYFUNCTION("""COMPUTED_VALUE"""),0.3)</f>
        <v>0.3</v>
      </c>
      <c r="E9" s="10"/>
      <c r="F9" s="10"/>
      <c r="G9" s="12">
        <f>IFERROR(__xludf.DUMMYFUNCTION("""COMPUTED_VALUE"""),2.63)</f>
        <v>2.63</v>
      </c>
      <c r="H9" s="14">
        <f>IFERROR(__xludf.DUMMYFUNCTION("""COMPUTED_VALUE"""),1.9)</f>
        <v>1.9</v>
      </c>
      <c r="I9" s="8">
        <f>IFERROR(__xludf.DUMMYFUNCTION("""COMPUTED_VALUE"""),1.0)</f>
        <v>1</v>
      </c>
      <c r="J9" s="8">
        <f>IFERROR(__xludf.DUMMYFUNCTION("""COMPUTED_VALUE"""),5.0)</f>
        <v>5</v>
      </c>
      <c r="K9" s="8">
        <f>IFERROR(__xludf.DUMMYFUNCTION("""COMPUTED_VALUE"""),3.79)</f>
        <v>3.79</v>
      </c>
      <c r="L9" s="8">
        <f>IFERROR(__xludf.DUMMYFUNCTION("""COMPUTED_VALUE"""),5.0)</f>
        <v>5</v>
      </c>
      <c r="M9" s="8">
        <f>IFERROR(__xludf.DUMMYFUNCTION("""COMPUTED_VALUE"""),2.15)</f>
        <v>2.15</v>
      </c>
      <c r="N9" s="18">
        <f>IFERROR(__xludf.DUMMYFUNCTION("""COMPUTED_VALUE"""),0.0)</f>
        <v>0</v>
      </c>
      <c r="O9" s="8">
        <f>IFERROR(__xludf.DUMMYFUNCTION("""COMPUTED_VALUE"""),0.7000000000000001)</f>
        <v>0.7</v>
      </c>
      <c r="P9" s="8"/>
      <c r="Q9" s="8"/>
      <c r="R9" s="8"/>
      <c r="S9" s="8"/>
      <c r="T9" s="8"/>
      <c r="U9" s="8"/>
      <c r="V9" s="8"/>
      <c r="W9" s="8"/>
      <c r="X9" s="8"/>
    </row>
    <row r="10">
      <c r="A10" s="8">
        <f>IFERROR(__xludf.DUMMYFUNCTION("""COMPUTED_VALUE"""),9.0)</f>
        <v>9</v>
      </c>
      <c r="B10" s="9" t="str">
        <f>IFERROR(__xludf.DUMMYFUNCTION("""COMPUTED_VALUE"""),"CRUZ ORTIZ KEVIN JHOVANY")</f>
        <v>CRUZ ORTIZ KEVIN JHOVANY</v>
      </c>
      <c r="C10" s="10">
        <f>IFERROR(__xludf.DUMMYFUNCTION("""COMPUTED_VALUE"""),5.0)</f>
        <v>5</v>
      </c>
      <c r="D10" s="10">
        <f>IFERROR(__xludf.DUMMYFUNCTION("""COMPUTED_VALUE"""),5.0)</f>
        <v>5</v>
      </c>
      <c r="E10" s="10"/>
      <c r="F10" s="10"/>
      <c r="G10" s="12">
        <f>IFERROR(__xludf.DUMMYFUNCTION("""COMPUTED_VALUE"""),2.7199999999999998)</f>
        <v>2.72</v>
      </c>
      <c r="H10" s="14">
        <f>IFERROR(__xludf.DUMMYFUNCTION("""COMPUTED_VALUE"""),1.2)</f>
        <v>1.2</v>
      </c>
      <c r="I10" s="8">
        <f>IFERROR(__xludf.DUMMYFUNCTION("""COMPUTED_VALUE"""),3.6)</f>
        <v>3.6</v>
      </c>
      <c r="J10" s="8">
        <f>IFERROR(__xludf.DUMMYFUNCTION("""COMPUTED_VALUE"""),5.0)</f>
        <v>5</v>
      </c>
      <c r="K10" s="8">
        <f>IFERROR(__xludf.DUMMYFUNCTION("""COMPUTED_VALUE"""),3.46)</f>
        <v>3.46</v>
      </c>
      <c r="L10" s="8">
        <f>IFERROR(__xludf.DUMMYFUNCTION("""COMPUTED_VALUE"""),0.0)</f>
        <v>0</v>
      </c>
      <c r="M10" s="8">
        <f>IFERROR(__xludf.DUMMYFUNCTION("""COMPUTED_VALUE"""),0.0)</f>
        <v>0</v>
      </c>
      <c r="N10" s="18">
        <f>IFERROR(__xludf.DUMMYFUNCTION("""COMPUTED_VALUE"""),5.0)</f>
        <v>5</v>
      </c>
      <c r="O10" s="8">
        <f>IFERROR(__xludf.DUMMYFUNCTION("""COMPUTED_VALUE"""),0.30000000000000004)</f>
        <v>0.3</v>
      </c>
      <c r="P10" s="8"/>
      <c r="Q10" s="8"/>
      <c r="R10" s="8"/>
      <c r="S10" s="8"/>
      <c r="T10" s="8"/>
      <c r="U10" s="8"/>
      <c r="V10" s="8"/>
      <c r="W10" s="8"/>
      <c r="X10" s="8"/>
    </row>
    <row r="11">
      <c r="A11" s="8">
        <f>IFERROR(__xludf.DUMMYFUNCTION("""COMPUTED_VALUE"""),10.0)</f>
        <v>10</v>
      </c>
      <c r="B11" s="9" t="str">
        <f>IFERROR(__xludf.DUMMYFUNCTION("""COMPUTED_VALUE"""),"DUARTE PACHECO VALENTINA")</f>
        <v>DUARTE PACHECO VALENTINA</v>
      </c>
      <c r="C11" s="10">
        <f>IFERROR(__xludf.DUMMYFUNCTION("""COMPUTED_VALUE"""),5.0)</f>
        <v>5</v>
      </c>
      <c r="D11" s="10">
        <f>IFERROR(__xludf.DUMMYFUNCTION("""COMPUTED_VALUE"""),1.7)</f>
        <v>1.7</v>
      </c>
      <c r="E11" s="10"/>
      <c r="F11" s="10"/>
      <c r="G11" s="12">
        <f>IFERROR(__xludf.DUMMYFUNCTION("""COMPUTED_VALUE"""),3.47)</f>
        <v>3.47</v>
      </c>
      <c r="H11" s="14">
        <f>IFERROR(__xludf.DUMMYFUNCTION("""COMPUTED_VALUE"""),2.6)</f>
        <v>2.6</v>
      </c>
      <c r="I11" s="8">
        <f>IFERROR(__xludf.DUMMYFUNCTION("""COMPUTED_VALUE"""),4.0)</f>
        <v>4</v>
      </c>
      <c r="J11" s="8">
        <f>IFERROR(__xludf.DUMMYFUNCTION("""COMPUTED_VALUE"""),5.0)</f>
        <v>5</v>
      </c>
      <c r="K11" s="8">
        <f>IFERROR(__xludf.DUMMYFUNCTION("""COMPUTED_VALUE"""),3.27)</f>
        <v>3.27</v>
      </c>
      <c r="L11" s="8">
        <f>IFERROR(__xludf.DUMMYFUNCTION("""COMPUTED_VALUE"""),3.35)</f>
        <v>3.35</v>
      </c>
      <c r="M11" s="8">
        <f>IFERROR(__xludf.DUMMYFUNCTION("""COMPUTED_VALUE"""),0.0)</f>
        <v>0</v>
      </c>
      <c r="N11" s="18">
        <f>IFERROR(__xludf.DUMMYFUNCTION("""COMPUTED_VALUE"""),5.0)</f>
        <v>5</v>
      </c>
      <c r="O11" s="8">
        <f>IFERROR(__xludf.DUMMYFUNCTION("""COMPUTED_VALUE"""),0.15000000000000002)</f>
        <v>0.15</v>
      </c>
      <c r="P11" s="8"/>
      <c r="Q11" s="8"/>
      <c r="R11" s="8"/>
      <c r="S11" s="8"/>
      <c r="T11" s="8"/>
      <c r="U11" s="8"/>
      <c r="V11" s="8"/>
      <c r="W11" s="8"/>
      <c r="X11" s="8"/>
    </row>
    <row r="12">
      <c r="A12" s="8">
        <f>IFERROR(__xludf.DUMMYFUNCTION("""COMPUTED_VALUE"""),11.0)</f>
        <v>11</v>
      </c>
      <c r="B12" s="9" t="str">
        <f>IFERROR(__xludf.DUMMYFUNCTION("""COMPUTED_VALUE"""),"ESPITIA HERNANDEZ CAMILO ANDRES")</f>
        <v>ESPITIA HERNANDEZ CAMILO ANDRES</v>
      </c>
      <c r="C12" s="10">
        <f>IFERROR(__xludf.DUMMYFUNCTION("""COMPUTED_VALUE"""),5.0)</f>
        <v>5</v>
      </c>
      <c r="D12" s="10">
        <f>IFERROR(__xludf.DUMMYFUNCTION("""COMPUTED_VALUE"""),4.5)</f>
        <v>4.5</v>
      </c>
      <c r="E12" s="10"/>
      <c r="F12" s="10"/>
      <c r="G12" s="12">
        <f>IFERROR(__xludf.DUMMYFUNCTION("""COMPUTED_VALUE"""),4.470000000000001)</f>
        <v>4.47</v>
      </c>
      <c r="H12" s="14">
        <f>IFERROR(__xludf.DUMMYFUNCTION("""COMPUTED_VALUE"""),4.6)</f>
        <v>4.6</v>
      </c>
      <c r="I12" s="8">
        <f>IFERROR(__xludf.DUMMYFUNCTION("""COMPUTED_VALUE"""),3.8)</f>
        <v>3.8</v>
      </c>
      <c r="J12" s="8">
        <f>IFERROR(__xludf.DUMMYFUNCTION("""COMPUTED_VALUE"""),5.0)</f>
        <v>5</v>
      </c>
      <c r="K12" s="8">
        <f>IFERROR(__xludf.DUMMYFUNCTION("""COMPUTED_VALUE"""),4.91)</f>
        <v>4.91</v>
      </c>
      <c r="L12" s="8">
        <f>IFERROR(__xludf.DUMMYFUNCTION("""COMPUTED_VALUE"""),4.45)</f>
        <v>4.45</v>
      </c>
      <c r="M12" s="8">
        <f>IFERROR(__xludf.DUMMYFUNCTION("""COMPUTED_VALUE"""),4.1000000000000005)</f>
        <v>4.1</v>
      </c>
      <c r="N12" s="18">
        <f>IFERROR(__xludf.DUMMYFUNCTION("""COMPUTED_VALUE"""),5.0)</f>
        <v>5</v>
      </c>
      <c r="O12" s="8">
        <f>IFERROR(__xludf.DUMMYFUNCTION("""COMPUTED_VALUE"""),4.3)</f>
        <v>4.3</v>
      </c>
      <c r="P12" s="8"/>
      <c r="Q12" s="8"/>
      <c r="R12" s="8"/>
      <c r="S12" s="8"/>
      <c r="T12" s="8"/>
      <c r="U12" s="8"/>
      <c r="V12" s="8"/>
      <c r="W12" s="8"/>
      <c r="X12" s="8"/>
    </row>
    <row r="13">
      <c r="A13" s="8">
        <f>IFERROR(__xludf.DUMMYFUNCTION("""COMPUTED_VALUE"""),12.0)</f>
        <v>12</v>
      </c>
      <c r="B13" s="9" t="str">
        <f>IFERROR(__xludf.DUMMYFUNCTION("""COMPUTED_VALUE"""),"GALVIS MARTINEZ LUIS ALEJANDRO")</f>
        <v>GALVIS MARTINEZ LUIS ALEJANDRO</v>
      </c>
      <c r="C13" s="10">
        <f>IFERROR(__xludf.DUMMYFUNCTION("""COMPUTED_VALUE"""),1.4)</f>
        <v>1.4</v>
      </c>
      <c r="D13" s="10">
        <f>IFERROR(__xludf.DUMMYFUNCTION("""COMPUTED_VALUE"""),0.4)</f>
        <v>0.4</v>
      </c>
      <c r="E13" s="10"/>
      <c r="F13" s="10"/>
      <c r="G13" s="12">
        <f>IFERROR(__xludf.DUMMYFUNCTION("""COMPUTED_VALUE"""),1.0)</f>
        <v>1</v>
      </c>
      <c r="H13" s="14">
        <f>IFERROR(__xludf.DUMMYFUNCTION("""COMPUTED_VALUE"""),0.4)</f>
        <v>0.4</v>
      </c>
      <c r="I13" s="8">
        <f>IFERROR(__xludf.DUMMYFUNCTION("""COMPUTED_VALUE"""),0.0)</f>
        <v>0</v>
      </c>
      <c r="J13" s="8">
        <f>IFERROR(__xludf.DUMMYFUNCTION("""COMPUTED_VALUE"""),5.0)</f>
        <v>5</v>
      </c>
      <c r="K13" s="8">
        <f>IFERROR(__xludf.DUMMYFUNCTION("""COMPUTED_VALUE"""),1.4)</f>
        <v>1.4</v>
      </c>
      <c r="L13" s="8">
        <f>IFERROR(__xludf.DUMMYFUNCTION("""COMPUTED_VALUE"""),0.0)</f>
        <v>0</v>
      </c>
      <c r="M13" s="8">
        <f>IFERROR(__xludf.DUMMYFUNCTION("""COMPUTED_VALUE"""),0.0)</f>
        <v>0</v>
      </c>
      <c r="N13" s="18">
        <f>IFERROR(__xludf.DUMMYFUNCTION("""COMPUTED_VALUE"""),0.0)</f>
        <v>0</v>
      </c>
      <c r="O13" s="8">
        <f>IFERROR(__xludf.DUMMYFUNCTION("""COMPUTED_VALUE"""),0.0)</f>
        <v>0</v>
      </c>
      <c r="P13" s="8"/>
      <c r="Q13" s="8"/>
      <c r="R13" s="8"/>
      <c r="S13" s="8"/>
      <c r="T13" s="8"/>
      <c r="U13" s="8"/>
      <c r="V13" s="8"/>
      <c r="W13" s="8"/>
      <c r="X13" s="8"/>
    </row>
    <row r="14">
      <c r="A14" s="8">
        <f>IFERROR(__xludf.DUMMYFUNCTION("""COMPUTED_VALUE"""),13.0)</f>
        <v>13</v>
      </c>
      <c r="B14" s="9" t="str">
        <f>IFERROR(__xludf.DUMMYFUNCTION("""COMPUTED_VALUE"""),"GOMEZ MANOSALVA SANTIAGO ALEXANDER")</f>
        <v>GOMEZ MANOSALVA SANTIAGO ALEXANDER</v>
      </c>
      <c r="C14" s="10">
        <f>IFERROR(__xludf.DUMMYFUNCTION("""COMPUTED_VALUE"""),4.2)</f>
        <v>4.2</v>
      </c>
      <c r="D14" s="10">
        <f>IFERROR(__xludf.DUMMYFUNCTION("""COMPUTED_VALUE"""),2.1)</f>
        <v>2.1</v>
      </c>
      <c r="E14" s="10"/>
      <c r="F14" s="10"/>
      <c r="G14" s="12">
        <f>IFERROR(__xludf.DUMMYFUNCTION("""COMPUTED_VALUE"""),3.65)</f>
        <v>3.65</v>
      </c>
      <c r="H14" s="14">
        <f>IFERROR(__xludf.DUMMYFUNCTION("""COMPUTED_VALUE"""),3.7)</f>
        <v>3.7</v>
      </c>
      <c r="I14" s="8">
        <f>IFERROR(__xludf.DUMMYFUNCTION("""COMPUTED_VALUE"""),1.5)</f>
        <v>1.5</v>
      </c>
      <c r="J14" s="8">
        <f>IFERROR(__xludf.DUMMYFUNCTION("""COMPUTED_VALUE"""),5.0)</f>
        <v>5</v>
      </c>
      <c r="K14" s="8">
        <f>IFERROR(__xludf.DUMMYFUNCTION("""COMPUTED_VALUE"""),5.0)</f>
        <v>5</v>
      </c>
      <c r="L14" s="8">
        <f>IFERROR(__xludf.DUMMYFUNCTION("""COMPUTED_VALUE"""),3.45)</f>
        <v>3.45</v>
      </c>
      <c r="M14" s="8">
        <f>IFERROR(__xludf.DUMMYFUNCTION("""COMPUTED_VALUE"""),3.3000000000000003)</f>
        <v>3.3</v>
      </c>
      <c r="N14" s="18">
        <f>IFERROR(__xludf.DUMMYFUNCTION("""COMPUTED_VALUE"""),5.0)</f>
        <v>5</v>
      </c>
      <c r="O14" s="8">
        <f>IFERROR(__xludf.DUMMYFUNCTION("""COMPUTED_VALUE"""),5.0)</f>
        <v>5</v>
      </c>
      <c r="P14" s="8"/>
      <c r="Q14" s="8"/>
      <c r="R14" s="8"/>
      <c r="S14" s="8"/>
      <c r="T14" s="8"/>
      <c r="U14" s="8"/>
      <c r="V14" s="8"/>
      <c r="W14" s="8"/>
      <c r="X14" s="8"/>
    </row>
    <row r="15">
      <c r="A15" s="8">
        <f>IFERROR(__xludf.DUMMYFUNCTION("""COMPUTED_VALUE"""),14.0)</f>
        <v>14</v>
      </c>
      <c r="B15" s="9" t="str">
        <f>IFERROR(__xludf.DUMMYFUNCTION("""COMPUTED_VALUE"""),"GOMEZ RANGEL NATHANIEL ESTEBAN")</f>
        <v>GOMEZ RANGEL NATHANIEL ESTEBAN</v>
      </c>
      <c r="C15" s="10">
        <f>IFERROR(__xludf.DUMMYFUNCTION("""COMPUTED_VALUE"""),5.0)</f>
        <v>5</v>
      </c>
      <c r="D15" s="10">
        <f>IFERROR(__xludf.DUMMYFUNCTION("""COMPUTED_VALUE"""),1.7)</f>
        <v>1.7</v>
      </c>
      <c r="E15" s="10"/>
      <c r="F15" s="10"/>
      <c r="G15" s="12">
        <f>IFERROR(__xludf.DUMMYFUNCTION("""COMPUTED_VALUE"""),2.4)</f>
        <v>2.4</v>
      </c>
      <c r="H15" s="14">
        <f>IFERROR(__xludf.DUMMYFUNCTION("""COMPUTED_VALUE"""),0.0)</f>
        <v>0</v>
      </c>
      <c r="I15" s="8">
        <f>IFERROR(__xludf.DUMMYFUNCTION("""COMPUTED_VALUE"""),2.0)</f>
        <v>2</v>
      </c>
      <c r="J15" s="8">
        <f>IFERROR(__xludf.DUMMYFUNCTION("""COMPUTED_VALUE"""),5.0)</f>
        <v>5</v>
      </c>
      <c r="K15" s="8">
        <f>IFERROR(__xludf.DUMMYFUNCTION("""COMPUTED_VALUE"""),0.0)</f>
        <v>0</v>
      </c>
      <c r="L15" s="8">
        <f>IFERROR(__xludf.DUMMYFUNCTION("""COMPUTED_VALUE"""),0.0)</f>
        <v>0</v>
      </c>
      <c r="M15" s="8">
        <f>IFERROR(__xludf.DUMMYFUNCTION("""COMPUTED_VALUE"""),0.0)</f>
        <v>0</v>
      </c>
      <c r="N15" s="18">
        <f>IFERROR(__xludf.DUMMYFUNCTION("""COMPUTED_VALUE"""),5.0)</f>
        <v>5</v>
      </c>
      <c r="O15" s="8">
        <f>IFERROR(__xludf.DUMMYFUNCTION("""COMPUTED_VALUE"""),0.0)</f>
        <v>0</v>
      </c>
      <c r="P15" s="8"/>
      <c r="Q15" s="8"/>
      <c r="R15" s="8"/>
      <c r="S15" s="8"/>
      <c r="T15" s="8"/>
      <c r="U15" s="8"/>
      <c r="V15" s="8"/>
      <c r="W15" s="8"/>
      <c r="X15" s="8"/>
    </row>
    <row r="16">
      <c r="A16" s="8">
        <f>IFERROR(__xludf.DUMMYFUNCTION("""COMPUTED_VALUE"""),15.0)</f>
        <v>15</v>
      </c>
      <c r="B16" s="9" t="str">
        <f>IFERROR(__xludf.DUMMYFUNCTION("""COMPUTED_VALUE"""),"GOMEZ UZCATEGUI DIEGO DAVID")</f>
        <v>GOMEZ UZCATEGUI DIEGO DAVID</v>
      </c>
      <c r="C16" s="10">
        <f>IFERROR(__xludf.DUMMYFUNCTION("""COMPUTED_VALUE"""),3.5)</f>
        <v>3.5</v>
      </c>
      <c r="D16" s="10">
        <f>IFERROR(__xludf.DUMMYFUNCTION("""COMPUTED_VALUE"""),0.8)</f>
        <v>0.8</v>
      </c>
      <c r="E16" s="10"/>
      <c r="F16" s="10"/>
      <c r="G16" s="12">
        <f>IFERROR(__xludf.DUMMYFUNCTION("""COMPUTED_VALUE"""),0.0)</f>
        <v>0</v>
      </c>
      <c r="H16" s="14">
        <f>IFERROR(__xludf.DUMMYFUNCTION("""COMPUTED_VALUE"""),0.4)</f>
        <v>0.4</v>
      </c>
      <c r="I16" s="8">
        <f>IFERROR(__xludf.DUMMYFUNCTION("""COMPUTED_VALUE"""),0.0)</f>
        <v>0</v>
      </c>
      <c r="J16" s="8">
        <f>IFERROR(__xludf.DUMMYFUNCTION("""COMPUTED_VALUE"""),0.0)</f>
        <v>0</v>
      </c>
      <c r="K16" s="8">
        <f>IFERROR(__xludf.DUMMYFUNCTION("""COMPUTED_VALUE"""),1.21)</f>
        <v>1.21</v>
      </c>
      <c r="L16" s="8">
        <f>IFERROR(__xludf.DUMMYFUNCTION("""COMPUTED_VALUE"""),0.0)</f>
        <v>0</v>
      </c>
      <c r="M16" s="8">
        <f>IFERROR(__xludf.DUMMYFUNCTION("""COMPUTED_VALUE"""),0.0)</f>
        <v>0</v>
      </c>
      <c r="N16" s="18">
        <f>IFERROR(__xludf.DUMMYFUNCTION("""COMPUTED_VALUE"""),0.0)</f>
        <v>0</v>
      </c>
      <c r="O16" s="8">
        <f>IFERROR(__xludf.DUMMYFUNCTION("""COMPUTED_VALUE"""),0.15000000000000002)</f>
        <v>0.15</v>
      </c>
      <c r="P16" s="8"/>
      <c r="Q16" s="8"/>
      <c r="R16" s="8"/>
      <c r="S16" s="8"/>
      <c r="T16" s="8"/>
      <c r="U16" s="8"/>
      <c r="V16" s="8"/>
      <c r="W16" s="8"/>
      <c r="X16" s="8"/>
    </row>
    <row r="17">
      <c r="A17" s="8">
        <f>IFERROR(__xludf.DUMMYFUNCTION("""COMPUTED_VALUE"""),16.0)</f>
        <v>16</v>
      </c>
      <c r="B17" s="9" t="str">
        <f>IFERROR(__xludf.DUMMYFUNCTION("""COMPUTED_VALUE"""),"GUERRERO MEDINA GUSTAVO ANDRES")</f>
        <v>GUERRERO MEDINA GUSTAVO ANDRES</v>
      </c>
      <c r="C17" s="10">
        <f>IFERROR(__xludf.DUMMYFUNCTION("""COMPUTED_VALUE"""),5.0)</f>
        <v>5</v>
      </c>
      <c r="D17" s="10">
        <f>IFERROR(__xludf.DUMMYFUNCTION("""COMPUTED_VALUE"""),2.2)</f>
        <v>2.2</v>
      </c>
      <c r="E17" s="10"/>
      <c r="F17" s="10"/>
      <c r="G17" s="12">
        <f>IFERROR(__xludf.DUMMYFUNCTION("""COMPUTED_VALUE"""),2.48)</f>
        <v>2.48</v>
      </c>
      <c r="H17" s="14">
        <f>IFERROR(__xludf.DUMMYFUNCTION("""COMPUTED_VALUE"""),0.9)</f>
        <v>0.9</v>
      </c>
      <c r="I17" s="8">
        <f>IFERROR(__xludf.DUMMYFUNCTION("""COMPUTED_VALUE"""),2.4)</f>
        <v>2.4</v>
      </c>
      <c r="J17" s="8">
        <f>IFERROR(__xludf.DUMMYFUNCTION("""COMPUTED_VALUE"""),5.0)</f>
        <v>5</v>
      </c>
      <c r="K17" s="8">
        <f>IFERROR(__xludf.DUMMYFUNCTION("""COMPUTED_VALUE"""),3.18)</f>
        <v>3.18</v>
      </c>
      <c r="L17" s="8">
        <f>IFERROR(__xludf.DUMMYFUNCTION("""COMPUTED_VALUE"""),0.0)</f>
        <v>0</v>
      </c>
      <c r="M17" s="8">
        <f>IFERROR(__xludf.DUMMYFUNCTION("""COMPUTED_VALUE"""),0.0)</f>
        <v>0</v>
      </c>
      <c r="N17" s="18">
        <f>IFERROR(__xludf.DUMMYFUNCTION("""COMPUTED_VALUE"""),5.0)</f>
        <v>5</v>
      </c>
      <c r="O17" s="8">
        <f>IFERROR(__xludf.DUMMYFUNCTION("""COMPUTED_VALUE"""),0.15000000000000002)</f>
        <v>0.15</v>
      </c>
      <c r="P17" s="8"/>
      <c r="Q17" s="8"/>
      <c r="R17" s="8"/>
      <c r="S17" s="8"/>
      <c r="T17" s="8"/>
      <c r="U17" s="8"/>
      <c r="V17" s="8"/>
      <c r="W17" s="8"/>
      <c r="X17" s="8"/>
    </row>
    <row r="18">
      <c r="A18" s="8">
        <f>IFERROR(__xludf.DUMMYFUNCTION("""COMPUTED_VALUE"""),17.0)</f>
        <v>17</v>
      </c>
      <c r="B18" s="9" t="str">
        <f>IFERROR(__xludf.DUMMYFUNCTION("""COMPUTED_VALUE"""),"HIGUERA ANGARITA MARIA LUCIA")</f>
        <v>HIGUERA ANGARITA MARIA LUCIA</v>
      </c>
      <c r="C18" s="10">
        <f>IFERROR(__xludf.DUMMYFUNCTION("""COMPUTED_VALUE"""),4.1)</f>
        <v>4.1</v>
      </c>
      <c r="D18" s="10">
        <f>IFERROR(__xludf.DUMMYFUNCTION("""COMPUTED_VALUE"""),3.5)</f>
        <v>3.5</v>
      </c>
      <c r="E18" s="10"/>
      <c r="F18" s="10"/>
      <c r="G18" s="12">
        <f>IFERROR(__xludf.DUMMYFUNCTION("""COMPUTED_VALUE"""),4.13)</f>
        <v>4.13</v>
      </c>
      <c r="H18" s="14">
        <f>IFERROR(__xludf.DUMMYFUNCTION("""COMPUTED_VALUE"""),2.8)</f>
        <v>2.8</v>
      </c>
      <c r="I18" s="8">
        <f>IFERROR(__xludf.DUMMYFUNCTION("""COMPUTED_VALUE"""),5.0)</f>
        <v>5</v>
      </c>
      <c r="J18" s="8">
        <f>IFERROR(__xludf.DUMMYFUNCTION("""COMPUTED_VALUE"""),5.0)</f>
        <v>5</v>
      </c>
      <c r="K18" s="8">
        <f>IFERROR(__xludf.DUMMYFUNCTION("""COMPUTED_VALUE"""),2.38)</f>
        <v>2.38</v>
      </c>
      <c r="L18" s="8">
        <f>IFERROR(__xludf.DUMMYFUNCTION("""COMPUTED_VALUE"""),4.65)</f>
        <v>4.65</v>
      </c>
      <c r="M18" s="8">
        <f>IFERROR(__xludf.DUMMYFUNCTION("""COMPUTED_VALUE"""),1.0)</f>
        <v>1</v>
      </c>
      <c r="N18" s="18">
        <f>IFERROR(__xludf.DUMMYFUNCTION("""COMPUTED_VALUE"""),5.0)</f>
        <v>5</v>
      </c>
      <c r="O18" s="8">
        <f>IFERROR(__xludf.DUMMYFUNCTION("""COMPUTED_VALUE"""),1.55)</f>
        <v>1.55</v>
      </c>
      <c r="P18" s="8"/>
      <c r="Q18" s="8"/>
      <c r="R18" s="8"/>
      <c r="S18" s="8"/>
      <c r="T18" s="8"/>
      <c r="U18" s="8"/>
      <c r="V18" s="8"/>
      <c r="W18" s="8"/>
      <c r="X18" s="8"/>
    </row>
    <row r="19">
      <c r="A19" s="8">
        <f>IFERROR(__xludf.DUMMYFUNCTION("""COMPUTED_VALUE"""),18.0)</f>
        <v>18</v>
      </c>
      <c r="B19" s="9" t="str">
        <f>IFERROR(__xludf.DUMMYFUNCTION("""COMPUTED_VALUE"""),"JIMENEZ CASTELLANOS DAILANY NAYELI")</f>
        <v>JIMENEZ CASTELLANOS DAILANY NAYELI</v>
      </c>
      <c r="C19" s="10">
        <f>IFERROR(__xludf.DUMMYFUNCTION("""COMPUTED_VALUE"""),3.0)</f>
        <v>3</v>
      </c>
      <c r="D19" s="10">
        <f>IFERROR(__xludf.DUMMYFUNCTION("""COMPUTED_VALUE"""),2.1)</f>
        <v>2.1</v>
      </c>
      <c r="E19" s="10"/>
      <c r="F19" s="10"/>
      <c r="G19" s="12">
        <f>IFERROR(__xludf.DUMMYFUNCTION("""COMPUTED_VALUE"""),4.25)</f>
        <v>4.25</v>
      </c>
      <c r="H19" s="14">
        <f>IFERROR(__xludf.DUMMYFUNCTION("""COMPUTED_VALUE"""),4.2)</f>
        <v>4.2</v>
      </c>
      <c r="I19" s="8">
        <f>IFERROR(__xludf.DUMMYFUNCTION("""COMPUTED_VALUE"""),1.8)</f>
        <v>1.8</v>
      </c>
      <c r="J19" s="8">
        <f>IFERROR(__xludf.DUMMYFUNCTION("""COMPUTED_VALUE"""),5.0)</f>
        <v>5</v>
      </c>
      <c r="K19" s="8">
        <f>IFERROR(__xludf.DUMMYFUNCTION("""COMPUTED_VALUE"""),3.83)</f>
        <v>3.83</v>
      </c>
      <c r="L19" s="8">
        <f>IFERROR(__xludf.DUMMYFUNCTION("""COMPUTED_VALUE"""),5.0)</f>
        <v>5</v>
      </c>
      <c r="M19" s="8">
        <f>IFERROR(__xludf.DUMMYFUNCTION("""COMPUTED_VALUE"""),4.45)</f>
        <v>4.45</v>
      </c>
      <c r="N19" s="18">
        <f>IFERROR(__xludf.DUMMYFUNCTION("""COMPUTED_VALUE"""),5.0)</f>
        <v>5</v>
      </c>
      <c r="O19" s="8">
        <f>IFERROR(__xludf.DUMMYFUNCTION("""COMPUTED_VALUE"""),3.9000000000000004)</f>
        <v>3.9</v>
      </c>
      <c r="P19" s="8"/>
      <c r="Q19" s="8"/>
      <c r="R19" s="8"/>
      <c r="S19" s="8"/>
      <c r="T19" s="8"/>
      <c r="U19" s="8"/>
      <c r="V19" s="8"/>
      <c r="W19" s="8"/>
      <c r="X19" s="8"/>
    </row>
    <row r="20">
      <c r="A20" s="8">
        <f>IFERROR(__xludf.DUMMYFUNCTION("""COMPUTED_VALUE"""),19.0)</f>
        <v>19</v>
      </c>
      <c r="B20" s="9" t="str">
        <f>IFERROR(__xludf.DUMMYFUNCTION("""COMPUTED_VALUE"""),"MANTILLA CHINCHILLA ALISSON")</f>
        <v>MANTILLA CHINCHILLA ALISSON</v>
      </c>
      <c r="C20" s="10">
        <f>IFERROR(__xludf.DUMMYFUNCTION("""COMPUTED_VALUE"""),4.0)</f>
        <v>4</v>
      </c>
      <c r="D20" s="10">
        <f>IFERROR(__xludf.DUMMYFUNCTION("""COMPUTED_VALUE"""),4.9)</f>
        <v>4.9</v>
      </c>
      <c r="E20" s="10"/>
      <c r="F20" s="10"/>
      <c r="G20" s="12">
        <f>IFERROR(__xludf.DUMMYFUNCTION("""COMPUTED_VALUE"""),4.779999999999999)</f>
        <v>4.78</v>
      </c>
      <c r="H20" s="14">
        <f>IFERROR(__xludf.DUMMYFUNCTION("""COMPUTED_VALUE"""),4.9)</f>
        <v>4.9</v>
      </c>
      <c r="I20" s="8">
        <f>IFERROR(__xludf.DUMMYFUNCTION("""COMPUTED_VALUE"""),4.0)</f>
        <v>4</v>
      </c>
      <c r="J20" s="8">
        <f>IFERROR(__xludf.DUMMYFUNCTION("""COMPUTED_VALUE"""),5.0)</f>
        <v>5</v>
      </c>
      <c r="K20" s="8">
        <f>IFERROR(__xludf.DUMMYFUNCTION("""COMPUTED_VALUE"""),5.0)</f>
        <v>5</v>
      </c>
      <c r="L20" s="8">
        <f>IFERROR(__xludf.DUMMYFUNCTION("""COMPUTED_VALUE"""),5.0)</f>
        <v>5</v>
      </c>
      <c r="M20" s="8">
        <f>IFERROR(__xludf.DUMMYFUNCTION("""COMPUTED_VALUE"""),4.9)</f>
        <v>4.9</v>
      </c>
      <c r="N20" s="18">
        <f>IFERROR(__xludf.DUMMYFUNCTION("""COMPUTED_VALUE"""),5.0)</f>
        <v>5</v>
      </c>
      <c r="O20" s="8">
        <f>IFERROR(__xludf.DUMMYFUNCTION("""COMPUTED_VALUE"""),5.0)</f>
        <v>5</v>
      </c>
      <c r="P20" s="8"/>
      <c r="Q20" s="8"/>
      <c r="R20" s="8"/>
      <c r="S20" s="8"/>
      <c r="T20" s="8"/>
      <c r="U20" s="8"/>
      <c r="V20" s="8"/>
      <c r="W20" s="8"/>
      <c r="X20" s="8"/>
    </row>
    <row r="21">
      <c r="A21" s="8">
        <f>IFERROR(__xludf.DUMMYFUNCTION("""COMPUTED_VALUE"""),20.0)</f>
        <v>20</v>
      </c>
      <c r="B21" s="9" t="str">
        <f>IFERROR(__xludf.DUMMYFUNCTION("""COMPUTED_VALUE"""),"MAYORIANO JIMENEZ MARIA FERNANDA")</f>
        <v>MAYORIANO JIMENEZ MARIA FERNANDA</v>
      </c>
      <c r="C21" s="10">
        <f>IFERROR(__xludf.DUMMYFUNCTION("""COMPUTED_VALUE"""),5.0)</f>
        <v>5</v>
      </c>
      <c r="D21" s="10">
        <f>IFERROR(__xludf.DUMMYFUNCTION("""COMPUTED_VALUE"""),4.4)</f>
        <v>4.4</v>
      </c>
      <c r="E21" s="10"/>
      <c r="F21" s="10"/>
      <c r="G21" s="12">
        <f>IFERROR(__xludf.DUMMYFUNCTION("""COMPUTED_VALUE"""),4.68)</f>
        <v>4.68</v>
      </c>
      <c r="H21" s="14">
        <f>IFERROR(__xludf.DUMMYFUNCTION("""COMPUTED_VALUE"""),4.5)</f>
        <v>4.5</v>
      </c>
      <c r="I21" s="8">
        <f>IFERROR(__xludf.DUMMYFUNCTION("""COMPUTED_VALUE"""),4.0)</f>
        <v>4</v>
      </c>
      <c r="J21" s="8">
        <f>IFERROR(__xludf.DUMMYFUNCTION("""COMPUTED_VALUE"""),5.0)</f>
        <v>5</v>
      </c>
      <c r="K21" s="8">
        <f>IFERROR(__xludf.DUMMYFUNCTION("""COMPUTED_VALUE"""),3.46)</f>
        <v>3.46</v>
      </c>
      <c r="L21" s="8">
        <f>IFERROR(__xludf.DUMMYFUNCTION("""COMPUTED_VALUE"""),4.75)</f>
        <v>4.75</v>
      </c>
      <c r="M21" s="8">
        <f>IFERROR(__xludf.DUMMYFUNCTION("""COMPUTED_VALUE"""),4.65)</f>
        <v>4.65</v>
      </c>
      <c r="N21" s="18">
        <f>IFERROR(__xludf.DUMMYFUNCTION("""COMPUTED_VALUE"""),5.0)</f>
        <v>5</v>
      </c>
      <c r="O21" s="8">
        <f>IFERROR(__xludf.DUMMYFUNCTION("""COMPUTED_VALUE"""),5.0)</f>
        <v>5</v>
      </c>
      <c r="P21" s="8"/>
      <c r="Q21" s="8"/>
      <c r="R21" s="8"/>
      <c r="S21" s="8"/>
      <c r="T21" s="8"/>
      <c r="U21" s="8"/>
      <c r="V21" s="8"/>
      <c r="W21" s="8"/>
      <c r="X21" s="8"/>
    </row>
    <row r="22">
      <c r="A22" s="8">
        <f>IFERROR(__xludf.DUMMYFUNCTION("""COMPUTED_VALUE"""),21.0)</f>
        <v>21</v>
      </c>
      <c r="B22" s="9" t="str">
        <f>IFERROR(__xludf.DUMMYFUNCTION("""COMPUTED_VALUE"""),"MEZA ZAMBRANO ESTEBAN DAVID")</f>
        <v>MEZA ZAMBRANO ESTEBAN DAVID</v>
      </c>
      <c r="C22" s="10">
        <f>IFERROR(__xludf.DUMMYFUNCTION("""COMPUTED_VALUE"""),3.1)</f>
        <v>3.1</v>
      </c>
      <c r="D22" s="10">
        <f>IFERROR(__xludf.DUMMYFUNCTION("""COMPUTED_VALUE"""),0.6)</f>
        <v>0.6</v>
      </c>
      <c r="E22" s="10"/>
      <c r="F22" s="10"/>
      <c r="G22" s="12">
        <f>IFERROR(__xludf.DUMMYFUNCTION("""COMPUTED_VALUE"""),1.2)</f>
        <v>1.2</v>
      </c>
      <c r="H22" s="14">
        <f>IFERROR(__xludf.DUMMYFUNCTION("""COMPUTED_VALUE"""),0.8)</f>
        <v>0.8</v>
      </c>
      <c r="I22" s="8">
        <f>IFERROR(__xludf.DUMMYFUNCTION("""COMPUTED_VALUE"""),1.0)</f>
        <v>1</v>
      </c>
      <c r="J22" s="8">
        <f>IFERROR(__xludf.DUMMYFUNCTION("""COMPUTED_VALUE"""),5.0)</f>
        <v>5</v>
      </c>
      <c r="K22" s="8">
        <f>IFERROR(__xludf.DUMMYFUNCTION("""COMPUTED_VALUE"""),1.92)</f>
        <v>1.92</v>
      </c>
      <c r="L22" s="8">
        <f>IFERROR(__xludf.DUMMYFUNCTION("""COMPUTED_VALUE"""),0.0)</f>
        <v>0</v>
      </c>
      <c r="M22" s="8">
        <f>IFERROR(__xludf.DUMMYFUNCTION("""COMPUTED_VALUE"""),0.0)</f>
        <v>0</v>
      </c>
      <c r="N22" s="18">
        <f>IFERROR(__xludf.DUMMYFUNCTION("""COMPUTED_VALUE"""),0.0)</f>
        <v>0</v>
      </c>
      <c r="O22" s="8">
        <f>IFERROR(__xludf.DUMMYFUNCTION("""COMPUTED_VALUE"""),0.30000000000000004)</f>
        <v>0.3</v>
      </c>
      <c r="P22" s="8"/>
      <c r="Q22" s="8"/>
      <c r="R22" s="8"/>
      <c r="S22" s="8"/>
      <c r="T22" s="8"/>
      <c r="U22" s="8"/>
      <c r="V22" s="8"/>
      <c r="W22" s="8"/>
      <c r="X22" s="8"/>
    </row>
    <row r="23">
      <c r="A23" s="8">
        <f>IFERROR(__xludf.DUMMYFUNCTION("""COMPUTED_VALUE"""),22.0)</f>
        <v>22</v>
      </c>
      <c r="B23" s="9" t="str">
        <f>IFERROR(__xludf.DUMMYFUNCTION("""COMPUTED_VALUE"""),"MURILLO HERNANDEZ JUAN JOSE")</f>
        <v>MURILLO HERNANDEZ JUAN JOSE</v>
      </c>
      <c r="C23" s="10">
        <f>IFERROR(__xludf.DUMMYFUNCTION("""COMPUTED_VALUE"""),5.0)</f>
        <v>5</v>
      </c>
      <c r="D23" s="10">
        <f>IFERROR(__xludf.DUMMYFUNCTION("""COMPUTED_VALUE"""),2.7)</f>
        <v>2.7</v>
      </c>
      <c r="E23" s="10"/>
      <c r="F23" s="10"/>
      <c r="G23" s="12">
        <f>IFERROR(__xludf.DUMMYFUNCTION("""COMPUTED_VALUE"""),3.0)</f>
        <v>3</v>
      </c>
      <c r="H23" s="14">
        <f>IFERROR(__xludf.DUMMYFUNCTION("""COMPUTED_VALUE"""),2.2)</f>
        <v>2.2</v>
      </c>
      <c r="I23" s="8">
        <f>IFERROR(__xludf.DUMMYFUNCTION("""COMPUTED_VALUE"""),5.0)</f>
        <v>5</v>
      </c>
      <c r="J23" s="8">
        <f>IFERROR(__xludf.DUMMYFUNCTION("""COMPUTED_VALUE"""),5.0)</f>
        <v>5</v>
      </c>
      <c r="K23" s="8">
        <f>IFERROR(__xludf.DUMMYFUNCTION("""COMPUTED_VALUE"""),3.55)</f>
        <v>3.55</v>
      </c>
      <c r="L23" s="8">
        <f>IFERROR(__xludf.DUMMYFUNCTION("""COMPUTED_VALUE"""),0.0)</f>
        <v>0</v>
      </c>
      <c r="M23" s="8">
        <f>IFERROR(__xludf.DUMMYFUNCTION("""COMPUTED_VALUE"""),0.0)</f>
        <v>0</v>
      </c>
      <c r="N23" s="18">
        <f>IFERROR(__xludf.DUMMYFUNCTION("""COMPUTED_VALUE"""),5.0)</f>
        <v>5</v>
      </c>
      <c r="O23" s="8">
        <f>IFERROR(__xludf.DUMMYFUNCTION("""COMPUTED_VALUE"""),0.30000000000000004)</f>
        <v>0.3</v>
      </c>
      <c r="P23" s="8"/>
      <c r="Q23" s="8"/>
      <c r="R23" s="8"/>
      <c r="S23" s="8"/>
      <c r="T23" s="8"/>
      <c r="U23" s="8"/>
      <c r="V23" s="8"/>
      <c r="W23" s="8"/>
      <c r="X23" s="8"/>
    </row>
    <row r="24">
      <c r="A24" s="8">
        <f>IFERROR(__xludf.DUMMYFUNCTION("""COMPUTED_VALUE"""),23.0)</f>
        <v>23</v>
      </c>
      <c r="B24" s="9" t="str">
        <f>IFERROR(__xludf.DUMMYFUNCTION("""COMPUTED_VALUE"""),"NIETO ARCINIEGAS NATHALIA ALEJANDRA")</f>
        <v>NIETO ARCINIEGAS NATHALIA ALEJANDRA</v>
      </c>
      <c r="C24" s="10">
        <f>IFERROR(__xludf.DUMMYFUNCTION("""COMPUTED_VALUE"""),5.0)</f>
        <v>5</v>
      </c>
      <c r="D24" s="10">
        <f>IFERROR(__xludf.DUMMYFUNCTION("""COMPUTED_VALUE"""),2.3)</f>
        <v>2.3</v>
      </c>
      <c r="E24" s="10"/>
      <c r="F24" s="10"/>
      <c r="G24" s="12">
        <f>IFERROR(__xludf.DUMMYFUNCTION("""COMPUTED_VALUE"""),2.52)</f>
        <v>2.52</v>
      </c>
      <c r="H24" s="14">
        <f>IFERROR(__xludf.DUMMYFUNCTION("""COMPUTED_VALUE"""),1.5)</f>
        <v>1.5</v>
      </c>
      <c r="I24" s="8">
        <f>IFERROR(__xludf.DUMMYFUNCTION("""COMPUTED_VALUE"""),2.6)</f>
        <v>2.6</v>
      </c>
      <c r="J24" s="8">
        <f>IFERROR(__xludf.DUMMYFUNCTION("""COMPUTED_VALUE"""),5.0)</f>
        <v>5</v>
      </c>
      <c r="K24" s="8">
        <f>IFERROR(__xludf.DUMMYFUNCTION("""COMPUTED_VALUE"""),3.79)</f>
        <v>3.79</v>
      </c>
      <c r="L24" s="8">
        <f>IFERROR(__xludf.DUMMYFUNCTION("""COMPUTED_VALUE"""),0.0)</f>
        <v>0</v>
      </c>
      <c r="M24" s="8">
        <f>IFERROR(__xludf.DUMMYFUNCTION("""COMPUTED_VALUE"""),0.0)</f>
        <v>0</v>
      </c>
      <c r="N24" s="18">
        <f>IFERROR(__xludf.DUMMYFUNCTION("""COMPUTED_VALUE"""),5.0)</f>
        <v>5</v>
      </c>
      <c r="O24" s="8">
        <f>IFERROR(__xludf.DUMMYFUNCTION("""COMPUTED_VALUE"""),1.6500000000000001)</f>
        <v>1.65</v>
      </c>
      <c r="P24" s="8"/>
      <c r="Q24" s="8"/>
      <c r="R24" s="8"/>
      <c r="S24" s="8"/>
      <c r="T24" s="8"/>
      <c r="U24" s="8"/>
      <c r="V24" s="8"/>
      <c r="W24" s="8"/>
      <c r="X24" s="8"/>
    </row>
    <row r="25">
      <c r="A25" s="8">
        <f>IFERROR(__xludf.DUMMYFUNCTION("""COMPUTED_VALUE"""),24.0)</f>
        <v>24</v>
      </c>
      <c r="B25" s="9" t="str">
        <f>IFERROR(__xludf.DUMMYFUNCTION("""COMPUTED_VALUE"""),"PABON REDONDO SAMUEL ANDRES")</f>
        <v>PABON REDONDO SAMUEL ANDRES</v>
      </c>
      <c r="C25" s="10">
        <f>IFERROR(__xludf.DUMMYFUNCTION("""COMPUTED_VALUE"""),5.0)</f>
        <v>5</v>
      </c>
      <c r="D25" s="10">
        <f>IFERROR(__xludf.DUMMYFUNCTION("""COMPUTED_VALUE"""),3.5)</f>
        <v>3.5</v>
      </c>
      <c r="E25" s="10"/>
      <c r="F25" s="10"/>
      <c r="G25" s="12">
        <f>IFERROR(__xludf.DUMMYFUNCTION("""COMPUTED_VALUE"""),4.680000000000001)</f>
        <v>4.68</v>
      </c>
      <c r="H25" s="14">
        <f>IFERROR(__xludf.DUMMYFUNCTION("""COMPUTED_VALUE"""),3.5)</f>
        <v>3.5</v>
      </c>
      <c r="I25" s="8">
        <f>IFERROR(__xludf.DUMMYFUNCTION("""COMPUTED_VALUE"""),5.0)</f>
        <v>5</v>
      </c>
      <c r="J25" s="8">
        <f>IFERROR(__xludf.DUMMYFUNCTION("""COMPUTED_VALUE"""),5.0)</f>
        <v>5</v>
      </c>
      <c r="K25" s="8">
        <f>IFERROR(__xludf.DUMMYFUNCTION("""COMPUTED_VALUE"""),4.16)</f>
        <v>4.16</v>
      </c>
      <c r="L25" s="8">
        <f>IFERROR(__xludf.DUMMYFUNCTION("""COMPUTED_VALUE"""),4.55)</f>
        <v>4.55</v>
      </c>
      <c r="M25" s="8">
        <f>IFERROR(__xludf.DUMMYFUNCTION("""COMPUTED_VALUE"""),3.85)</f>
        <v>3.85</v>
      </c>
      <c r="N25" s="18">
        <f>IFERROR(__xludf.DUMMYFUNCTION("""COMPUTED_VALUE"""),5.0)</f>
        <v>5</v>
      </c>
      <c r="O25" s="8">
        <f>IFERROR(__xludf.DUMMYFUNCTION("""COMPUTED_VALUE"""),0.9500000000000001)</f>
        <v>0.95</v>
      </c>
      <c r="P25" s="8"/>
      <c r="Q25" s="8"/>
      <c r="R25" s="8"/>
      <c r="S25" s="8"/>
      <c r="T25" s="8"/>
      <c r="U25" s="8"/>
      <c r="V25" s="8"/>
      <c r="W25" s="8"/>
      <c r="X25" s="8"/>
    </row>
    <row r="26">
      <c r="A26" s="8">
        <f>IFERROR(__xludf.DUMMYFUNCTION("""COMPUTED_VALUE"""),25.0)</f>
        <v>25</v>
      </c>
      <c r="B26" s="9" t="str">
        <f>IFERROR(__xludf.DUMMYFUNCTION("""COMPUTED_VALUE"""),"PEREZ FERREIRA JOSE RAMON")</f>
        <v>PEREZ FERREIRA JOSE RAMON</v>
      </c>
      <c r="C26" s="10">
        <f>IFERROR(__xludf.DUMMYFUNCTION("""COMPUTED_VALUE"""),5.0)</f>
        <v>5</v>
      </c>
      <c r="D26" s="10">
        <f>IFERROR(__xludf.DUMMYFUNCTION("""COMPUTED_VALUE"""),3.0)</f>
        <v>3</v>
      </c>
      <c r="E26" s="10"/>
      <c r="F26" s="10"/>
      <c r="G26" s="12">
        <f>IFERROR(__xludf.DUMMYFUNCTION("""COMPUTED_VALUE"""),4.37)</f>
        <v>4.37</v>
      </c>
      <c r="H26" s="14">
        <f>IFERROR(__xludf.DUMMYFUNCTION("""COMPUTED_VALUE"""),4.3)</f>
        <v>4.3</v>
      </c>
      <c r="I26" s="8">
        <f>IFERROR(__xludf.DUMMYFUNCTION("""COMPUTED_VALUE"""),2.5)</f>
        <v>2.5</v>
      </c>
      <c r="J26" s="8">
        <f>IFERROR(__xludf.DUMMYFUNCTION("""COMPUTED_VALUE"""),5.0)</f>
        <v>5</v>
      </c>
      <c r="K26" s="8">
        <f>IFERROR(__xludf.DUMMYFUNCTION("""COMPUTED_VALUE"""),4.86)</f>
        <v>4.86</v>
      </c>
      <c r="L26" s="8">
        <f>IFERROR(__xludf.DUMMYFUNCTION("""COMPUTED_VALUE"""),4.9)</f>
        <v>4.9</v>
      </c>
      <c r="M26" s="8">
        <f>IFERROR(__xludf.DUMMYFUNCTION("""COMPUTED_VALUE"""),4.45)</f>
        <v>4.45</v>
      </c>
      <c r="N26" s="18">
        <f>IFERROR(__xludf.DUMMYFUNCTION("""COMPUTED_VALUE"""),5.0)</f>
        <v>5</v>
      </c>
      <c r="O26" s="8">
        <f>IFERROR(__xludf.DUMMYFUNCTION("""COMPUTED_VALUE"""),5.0)</f>
        <v>5</v>
      </c>
      <c r="P26" s="8"/>
      <c r="Q26" s="8"/>
      <c r="R26" s="8"/>
      <c r="S26" s="8"/>
      <c r="T26" s="8"/>
      <c r="U26" s="8"/>
      <c r="V26" s="8"/>
      <c r="W26" s="8"/>
      <c r="X26" s="8"/>
    </row>
    <row r="27">
      <c r="A27" s="8">
        <f>IFERROR(__xludf.DUMMYFUNCTION("""COMPUTED_VALUE"""),26.0)</f>
        <v>26</v>
      </c>
      <c r="B27" s="9" t="str">
        <f>IFERROR(__xludf.DUMMYFUNCTION("""COMPUTED_VALUE"""),"PICO TORO JHULIANA PATRICIA")</f>
        <v>PICO TORO JHULIANA PATRICIA</v>
      </c>
      <c r="C27" s="10">
        <f>IFERROR(__xludf.DUMMYFUNCTION("""COMPUTED_VALUE"""),5.0)</f>
        <v>5</v>
      </c>
      <c r="D27" s="10">
        <f>IFERROR(__xludf.DUMMYFUNCTION("""COMPUTED_VALUE"""),2.9)</f>
        <v>2.9</v>
      </c>
      <c r="E27" s="10"/>
      <c r="F27" s="10"/>
      <c r="G27" s="12">
        <f>IFERROR(__xludf.DUMMYFUNCTION("""COMPUTED_VALUE"""),4.2700000000000005)</f>
        <v>4.27</v>
      </c>
      <c r="H27" s="14">
        <f>IFERROR(__xludf.DUMMYFUNCTION("""COMPUTED_VALUE"""),2.5)</f>
        <v>2.5</v>
      </c>
      <c r="I27" s="8">
        <f>IFERROR(__xludf.DUMMYFUNCTION("""COMPUTED_VALUE"""),2.0)</f>
        <v>2</v>
      </c>
      <c r="J27" s="8">
        <f>IFERROR(__xludf.DUMMYFUNCTION("""COMPUTED_VALUE"""),5.0)</f>
        <v>5</v>
      </c>
      <c r="K27" s="8">
        <f>IFERROR(__xludf.DUMMYFUNCTION("""COMPUTED_VALUE"""),2.85)</f>
        <v>2.85</v>
      </c>
      <c r="L27" s="8">
        <f>IFERROR(__xludf.DUMMYFUNCTION("""COMPUTED_VALUE"""),4.9)</f>
        <v>4.9</v>
      </c>
      <c r="M27" s="8">
        <f>IFERROR(__xludf.DUMMYFUNCTION("""COMPUTED_VALUE"""),4.45)</f>
        <v>4.45</v>
      </c>
      <c r="N27" s="18">
        <f>IFERROR(__xludf.DUMMYFUNCTION("""COMPUTED_VALUE"""),5.0)</f>
        <v>5</v>
      </c>
      <c r="O27" s="8">
        <f>IFERROR(__xludf.DUMMYFUNCTION("""COMPUTED_VALUE"""),0.15000000000000002)</f>
        <v>0.15</v>
      </c>
      <c r="P27" s="8"/>
      <c r="Q27" s="8"/>
      <c r="R27" s="8"/>
      <c r="S27" s="8"/>
      <c r="T27" s="8"/>
      <c r="U27" s="8"/>
      <c r="V27" s="8"/>
      <c r="W27" s="8"/>
      <c r="X27" s="8"/>
    </row>
    <row r="28">
      <c r="A28" s="8">
        <f>IFERROR(__xludf.DUMMYFUNCTION("""COMPUTED_VALUE"""),27.0)</f>
        <v>27</v>
      </c>
      <c r="B28" s="9" t="str">
        <f>IFERROR(__xludf.DUMMYFUNCTION("""COMPUTED_VALUE"""),"REYES BALDOVINO MIGUEL ANTONIO")</f>
        <v>REYES BALDOVINO MIGUEL ANTONIO</v>
      </c>
      <c r="C28" s="10">
        <f>IFERROR(__xludf.DUMMYFUNCTION("""COMPUTED_VALUE"""),5.0)</f>
        <v>5</v>
      </c>
      <c r="D28" s="10">
        <f>IFERROR(__xludf.DUMMYFUNCTION("""COMPUTED_VALUE"""),4.1)</f>
        <v>4.1</v>
      </c>
      <c r="E28" s="10"/>
      <c r="F28" s="10"/>
      <c r="G28" s="12">
        <f>IFERROR(__xludf.DUMMYFUNCTION("""COMPUTED_VALUE"""),3.3200000000000003)</f>
        <v>3.32</v>
      </c>
      <c r="H28" s="14">
        <f>IFERROR(__xludf.DUMMYFUNCTION("""COMPUTED_VALUE"""),3.8)</f>
        <v>3.8</v>
      </c>
      <c r="I28" s="8">
        <f>IFERROR(__xludf.DUMMYFUNCTION("""COMPUTED_VALUE"""),1.0)</f>
        <v>1</v>
      </c>
      <c r="J28" s="8">
        <f>IFERROR(__xludf.DUMMYFUNCTION("""COMPUTED_VALUE"""),5.0)</f>
        <v>5</v>
      </c>
      <c r="K28" s="8">
        <f>IFERROR(__xludf.DUMMYFUNCTION("""COMPUTED_VALUE"""),4.86)</f>
        <v>4.86</v>
      </c>
      <c r="L28" s="8">
        <f>IFERROR(__xludf.DUMMYFUNCTION("""COMPUTED_VALUE"""),4.0)</f>
        <v>4</v>
      </c>
      <c r="M28" s="8">
        <f>IFERROR(__xludf.DUMMYFUNCTION("""COMPUTED_VALUE"""),1.6)</f>
        <v>1.6</v>
      </c>
      <c r="N28" s="18">
        <f>IFERROR(__xludf.DUMMYFUNCTION("""COMPUTED_VALUE"""),5.0)</f>
        <v>5</v>
      </c>
      <c r="O28" s="8">
        <f>IFERROR(__xludf.DUMMYFUNCTION("""COMPUTED_VALUE"""),5.0)</f>
        <v>5</v>
      </c>
      <c r="P28" s="8"/>
      <c r="Q28" s="8"/>
      <c r="R28" s="8"/>
      <c r="S28" s="8"/>
      <c r="T28" s="8"/>
      <c r="U28" s="8"/>
      <c r="V28" s="8"/>
      <c r="W28" s="8"/>
      <c r="X28" s="8"/>
    </row>
    <row r="29">
      <c r="A29" s="8">
        <f>IFERROR(__xludf.DUMMYFUNCTION("""COMPUTED_VALUE"""),28.0)</f>
        <v>28</v>
      </c>
      <c r="B29" s="9" t="str">
        <f>IFERROR(__xludf.DUMMYFUNCTION("""COMPUTED_VALUE"""),"RIAÑO BERMUDEZ THOMAS DAVID")</f>
        <v>RIAÑO BERMUDEZ THOMAS DAVID</v>
      </c>
      <c r="C29" s="10">
        <f>IFERROR(__xludf.DUMMYFUNCTION("""COMPUTED_VALUE"""),4.6)</f>
        <v>4.6</v>
      </c>
      <c r="D29" s="10">
        <f>IFERROR(__xludf.DUMMYFUNCTION("""COMPUTED_VALUE"""),3.2)</f>
        <v>3.2</v>
      </c>
      <c r="E29" s="10"/>
      <c r="F29" s="10"/>
      <c r="G29" s="12">
        <f>IFERROR(__xludf.DUMMYFUNCTION("""COMPUTED_VALUE"""),4.3100000000000005)</f>
        <v>4.31</v>
      </c>
      <c r="H29" s="14">
        <f>IFERROR(__xludf.DUMMYFUNCTION("""COMPUTED_VALUE"""),2.9)</f>
        <v>2.9</v>
      </c>
      <c r="I29" s="8">
        <f>IFERROR(__xludf.DUMMYFUNCTION("""COMPUTED_VALUE"""),2.0)</f>
        <v>2</v>
      </c>
      <c r="J29" s="8">
        <f>IFERROR(__xludf.DUMMYFUNCTION("""COMPUTED_VALUE"""),5.0)</f>
        <v>5</v>
      </c>
      <c r="K29" s="8">
        <f>IFERROR(__xludf.DUMMYFUNCTION("""COMPUTED_VALUE"""),0.98)</f>
        <v>0.98</v>
      </c>
      <c r="L29" s="8">
        <f>IFERROR(__xludf.DUMMYFUNCTION("""COMPUTED_VALUE"""),4.800000000000001)</f>
        <v>4.8</v>
      </c>
      <c r="M29" s="8">
        <f>IFERROR(__xludf.DUMMYFUNCTION("""COMPUTED_VALUE"""),4.75)</f>
        <v>4.75</v>
      </c>
      <c r="N29" s="18">
        <f>IFERROR(__xludf.DUMMYFUNCTION("""COMPUTED_VALUE"""),5.0)</f>
        <v>5</v>
      </c>
      <c r="O29" s="8">
        <f>IFERROR(__xludf.DUMMYFUNCTION("""COMPUTED_VALUE"""),5.0)</f>
        <v>5</v>
      </c>
      <c r="P29" s="8"/>
      <c r="Q29" s="8"/>
      <c r="R29" s="8"/>
      <c r="S29" s="8"/>
      <c r="T29" s="8"/>
      <c r="U29" s="8"/>
      <c r="V29" s="8"/>
      <c r="W29" s="8"/>
      <c r="X29" s="8"/>
    </row>
    <row r="30">
      <c r="A30" s="9">
        <f>IFERROR(__xludf.DUMMYFUNCTION("""COMPUTED_VALUE"""),29.0)</f>
        <v>29</v>
      </c>
      <c r="B30" s="9" t="str">
        <f>IFERROR(__xludf.DUMMYFUNCTION("""COMPUTED_VALUE"""),"RUEDA PEREZ JUAN ESTEBAN")</f>
        <v>RUEDA PEREZ JUAN ESTEBAN</v>
      </c>
      <c r="C30" s="10">
        <f>IFERROR(__xludf.DUMMYFUNCTION("""COMPUTED_VALUE"""),5.0)</f>
        <v>5</v>
      </c>
      <c r="D30" s="10">
        <f>IFERROR(__xludf.DUMMYFUNCTION("""COMPUTED_VALUE"""),5.0)</f>
        <v>5</v>
      </c>
      <c r="E30" s="10"/>
      <c r="F30" s="10"/>
      <c r="G30" s="12">
        <f>IFERROR(__xludf.DUMMYFUNCTION("""COMPUTED_VALUE"""),4.54)</f>
        <v>4.54</v>
      </c>
      <c r="H30" s="14">
        <f>IFERROR(__xludf.DUMMYFUNCTION("""COMPUTED_VALUE"""),3.7)</f>
        <v>3.7</v>
      </c>
      <c r="I30" s="8">
        <f>IFERROR(__xludf.DUMMYFUNCTION("""COMPUTED_VALUE"""),4.0)</f>
        <v>4</v>
      </c>
      <c r="J30" s="8">
        <f>IFERROR(__xludf.DUMMYFUNCTION("""COMPUTED_VALUE"""),5.0)</f>
        <v>5</v>
      </c>
      <c r="K30" s="8">
        <f>IFERROR(__xludf.DUMMYFUNCTION("""COMPUTED_VALUE"""),4.21)</f>
        <v>4.21</v>
      </c>
      <c r="L30" s="8">
        <f>IFERROR(__xludf.DUMMYFUNCTION("""COMPUTED_VALUE"""),4.25)</f>
        <v>4.25</v>
      </c>
      <c r="M30" s="8">
        <f>IFERROR(__xludf.DUMMYFUNCTION("""COMPUTED_VALUE"""),4.45)</f>
        <v>4.45</v>
      </c>
      <c r="N30" s="18">
        <f>IFERROR(__xludf.DUMMYFUNCTION("""COMPUTED_VALUE"""),5.0)</f>
        <v>5</v>
      </c>
      <c r="O30" s="8">
        <f>IFERROR(__xludf.DUMMYFUNCTION("""COMPUTED_VALUE"""),1.4000000000000001)</f>
        <v>1.4</v>
      </c>
    </row>
    <row r="31">
      <c r="A31" s="9">
        <f>IFERROR(__xludf.DUMMYFUNCTION("""COMPUTED_VALUE"""),30.0)</f>
        <v>30</v>
      </c>
      <c r="B31" s="9" t="str">
        <f>IFERROR(__xludf.DUMMYFUNCTION("""COMPUTED_VALUE"""),"SANCHEZ BARAJAS SARAH JULIANA")</f>
        <v>SANCHEZ BARAJAS SARAH JULIANA</v>
      </c>
      <c r="C31" s="10">
        <f>IFERROR(__xludf.DUMMYFUNCTION("""COMPUTED_VALUE"""),5.0)</f>
        <v>5</v>
      </c>
      <c r="D31" s="10">
        <f>IFERROR(__xludf.DUMMYFUNCTION("""COMPUTED_VALUE"""),2.9)</f>
        <v>2.9</v>
      </c>
      <c r="E31" s="10"/>
      <c r="F31" s="10"/>
      <c r="G31" s="12">
        <f>IFERROR(__xludf.DUMMYFUNCTION("""COMPUTED_VALUE"""),4.48)</f>
        <v>4.48</v>
      </c>
      <c r="H31" s="14">
        <f>IFERROR(__xludf.DUMMYFUNCTION("""COMPUTED_VALUE"""),3.3)</f>
        <v>3.3</v>
      </c>
      <c r="I31" s="8">
        <f>IFERROR(__xludf.DUMMYFUNCTION("""COMPUTED_VALUE"""),3.8)</f>
        <v>3.8</v>
      </c>
      <c r="J31" s="8">
        <f>IFERROR(__xludf.DUMMYFUNCTION("""COMPUTED_VALUE"""),5.0)</f>
        <v>5</v>
      </c>
      <c r="K31" s="8">
        <f>IFERROR(__xludf.DUMMYFUNCTION("""COMPUTED_VALUE"""),3.93)</f>
        <v>3.93</v>
      </c>
      <c r="L31" s="8">
        <f>IFERROR(__xludf.DUMMYFUNCTION("""COMPUTED_VALUE"""),4.75)</f>
        <v>4.75</v>
      </c>
      <c r="M31" s="8">
        <f>IFERROR(__xludf.DUMMYFUNCTION("""COMPUTED_VALUE"""),3.85)</f>
        <v>3.85</v>
      </c>
      <c r="N31" s="18">
        <f>IFERROR(__xludf.DUMMYFUNCTION("""COMPUTED_VALUE"""),5.0)</f>
        <v>5</v>
      </c>
      <c r="O31" s="8">
        <f>IFERROR(__xludf.DUMMYFUNCTION("""COMPUTED_VALUE"""),4.8500000000000005)</f>
        <v>4.85</v>
      </c>
    </row>
    <row r="32">
      <c r="A32" s="9">
        <f>IFERROR(__xludf.DUMMYFUNCTION("""COMPUTED_VALUE"""),31.0)</f>
        <v>31</v>
      </c>
      <c r="B32" s="9" t="str">
        <f>IFERROR(__xludf.DUMMYFUNCTION("""COMPUTED_VALUE"""),"SANCHEZ GARCIA JORGE")</f>
        <v>SANCHEZ GARCIA JORGE</v>
      </c>
      <c r="C32" s="10">
        <f>IFERROR(__xludf.DUMMYFUNCTION("""COMPUTED_VALUE"""),1.8)</f>
        <v>1.8</v>
      </c>
      <c r="D32" s="10">
        <f>IFERROR(__xludf.DUMMYFUNCTION("""COMPUTED_VALUE"""),1.0)</f>
        <v>1</v>
      </c>
      <c r="E32" s="10"/>
      <c r="F32" s="10"/>
      <c r="G32" s="12">
        <f>IFERROR(__xludf.DUMMYFUNCTION("""COMPUTED_VALUE"""),3.53)</f>
        <v>3.53</v>
      </c>
      <c r="H32" s="14">
        <f>IFERROR(__xludf.DUMMYFUNCTION("""COMPUTED_VALUE"""),2.1)</f>
        <v>2.1</v>
      </c>
      <c r="I32" s="8">
        <f>IFERROR(__xludf.DUMMYFUNCTION("""COMPUTED_VALUE"""),2.4)</f>
        <v>2.4</v>
      </c>
      <c r="J32" s="8">
        <f>IFERROR(__xludf.DUMMYFUNCTION("""COMPUTED_VALUE"""),5.0)</f>
        <v>5</v>
      </c>
      <c r="K32" s="8">
        <f>IFERROR(__xludf.DUMMYFUNCTION("""COMPUTED_VALUE"""),5.0)</f>
        <v>5</v>
      </c>
      <c r="L32" s="8">
        <f>IFERROR(__xludf.DUMMYFUNCTION("""COMPUTED_VALUE"""),2.75)</f>
        <v>2.75</v>
      </c>
      <c r="M32" s="8">
        <f>IFERROR(__xludf.DUMMYFUNCTION("""COMPUTED_VALUE"""),2.5)</f>
        <v>2.5</v>
      </c>
      <c r="N32" s="18">
        <f>IFERROR(__xludf.DUMMYFUNCTION("""COMPUTED_VALUE"""),5.0)</f>
        <v>5</v>
      </c>
      <c r="O32" s="8">
        <f>IFERROR(__xludf.DUMMYFUNCTION("""COMPUTED_VALUE"""),0.30000000000000004)</f>
        <v>0.3</v>
      </c>
    </row>
    <row r="33">
      <c r="A33" s="9">
        <f>IFERROR(__xludf.DUMMYFUNCTION("""COMPUTED_VALUE"""),32.0)</f>
        <v>32</v>
      </c>
      <c r="B33" s="9" t="str">
        <f>IFERROR(__xludf.DUMMYFUNCTION("""COMPUTED_VALUE"""),"SANCHEZ MUÑOZ SEBASTIAN")</f>
        <v>SANCHEZ MUÑOZ SEBASTIAN</v>
      </c>
      <c r="C33" s="10">
        <f>IFERROR(__xludf.DUMMYFUNCTION("""COMPUTED_VALUE"""),2.0)</f>
        <v>2</v>
      </c>
      <c r="D33" s="10">
        <f>IFERROR(__xludf.DUMMYFUNCTION("""COMPUTED_VALUE"""),1.4)</f>
        <v>1.4</v>
      </c>
      <c r="E33" s="10"/>
      <c r="F33" s="10"/>
      <c r="G33" s="12">
        <f>IFERROR(__xludf.DUMMYFUNCTION("""COMPUTED_VALUE"""),4.430000000000001)</f>
        <v>4.43</v>
      </c>
      <c r="H33" s="14">
        <f>IFERROR(__xludf.DUMMYFUNCTION("""COMPUTED_VALUE"""),4.1)</f>
        <v>4.1</v>
      </c>
      <c r="I33" s="8">
        <f>IFERROR(__xludf.DUMMYFUNCTION("""COMPUTED_VALUE"""),2.8)</f>
        <v>2.8</v>
      </c>
      <c r="J33" s="8">
        <f>IFERROR(__xludf.DUMMYFUNCTION("""COMPUTED_VALUE"""),5.0)</f>
        <v>5</v>
      </c>
      <c r="K33" s="8">
        <f>IFERROR(__xludf.DUMMYFUNCTION("""COMPUTED_VALUE"""),4.63)</f>
        <v>4.63</v>
      </c>
      <c r="L33" s="8">
        <f>IFERROR(__xludf.DUMMYFUNCTION("""COMPUTED_VALUE"""),4.800000000000001)</f>
        <v>4.8</v>
      </c>
      <c r="M33" s="8">
        <f>IFERROR(__xludf.DUMMYFUNCTION("""COMPUTED_VALUE"""),4.55)</f>
        <v>4.55</v>
      </c>
      <c r="N33" s="18">
        <f>IFERROR(__xludf.DUMMYFUNCTION("""COMPUTED_VALUE"""),5.0)</f>
        <v>5</v>
      </c>
      <c r="O33" s="8">
        <f>IFERROR(__xludf.DUMMYFUNCTION("""COMPUTED_VALUE"""),5.0)</f>
        <v>5</v>
      </c>
    </row>
    <row r="34">
      <c r="A34" s="9">
        <f>IFERROR(__xludf.DUMMYFUNCTION("""COMPUTED_VALUE"""),33.0)</f>
        <v>33</v>
      </c>
      <c r="B34" s="9" t="str">
        <f>IFERROR(__xludf.DUMMYFUNCTION("""COMPUTED_VALUE"""),"TORRES VILLAMIZAR CRISTIAN LEONARDO")</f>
        <v>TORRES VILLAMIZAR CRISTIAN LEONARDO</v>
      </c>
      <c r="C34" s="10">
        <f>IFERROR(__xludf.DUMMYFUNCTION("""COMPUTED_VALUE"""),3.4)</f>
        <v>3.4</v>
      </c>
      <c r="D34" s="10">
        <f>IFERROR(__xludf.DUMMYFUNCTION("""COMPUTED_VALUE"""),1.8)</f>
        <v>1.8</v>
      </c>
      <c r="E34" s="10"/>
      <c r="F34" s="10"/>
      <c r="G34" s="12">
        <f>IFERROR(__xludf.DUMMYFUNCTION("""COMPUTED_VALUE"""),3.7600000000000002)</f>
        <v>3.76</v>
      </c>
      <c r="H34" s="14">
        <f>IFERROR(__xludf.DUMMYFUNCTION("""COMPUTED_VALUE"""),2.3)</f>
        <v>2.3</v>
      </c>
      <c r="I34" s="8">
        <f>IFERROR(__xludf.DUMMYFUNCTION("""COMPUTED_VALUE"""),1.6)</f>
        <v>1.6</v>
      </c>
      <c r="J34" s="8">
        <f>IFERROR(__xludf.DUMMYFUNCTION("""COMPUTED_VALUE"""),5.0)</f>
        <v>5</v>
      </c>
      <c r="K34" s="8">
        <f>IFERROR(__xludf.DUMMYFUNCTION("""COMPUTED_VALUE"""),2.52)</f>
        <v>2.52</v>
      </c>
      <c r="L34" s="8">
        <f>IFERROR(__xludf.DUMMYFUNCTION("""COMPUTED_VALUE"""),3.1)</f>
        <v>3.1</v>
      </c>
      <c r="M34" s="8">
        <f>IFERROR(__xludf.DUMMYFUNCTION("""COMPUTED_VALUE"""),4.1000000000000005)</f>
        <v>4.1</v>
      </c>
      <c r="N34" s="18">
        <f>IFERROR(__xludf.DUMMYFUNCTION("""COMPUTED_VALUE"""),5.0)</f>
        <v>5</v>
      </c>
      <c r="O34" s="8">
        <f>IFERROR(__xludf.DUMMYFUNCTION("""COMPUTED_VALUE"""),0.0)</f>
        <v>0</v>
      </c>
    </row>
  </sheetData>
  <conditionalFormatting sqref="R2:R29">
    <cfRule type="cellIs" dxfId="0" priority="1" operator="greaterThanOrEqual">
      <formula>3</formula>
    </cfRule>
  </conditionalFormatting>
  <conditionalFormatting sqref="R2:R29">
    <cfRule type="cellIs" dxfId="1" priority="2" operator="between">
      <formula>2.8</formula>
      <formula>2.999</formula>
    </cfRule>
  </conditionalFormatting>
  <conditionalFormatting sqref="R2:R29">
    <cfRule type="cellIs" dxfId="2" priority="3" operator="lessThan">
      <formula>2.8</formula>
    </cfRule>
  </conditionalFormatting>
  <conditionalFormatting sqref="T2:T29">
    <cfRule type="cellIs" dxfId="3" priority="4" operator="lessThan">
      <formula>3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63"/>
    <col customWidth="1" min="2" max="2" width="33.63"/>
    <col customWidth="1" min="3" max="6" width="3.63"/>
    <col customWidth="1" min="7" max="7" width="5.38"/>
    <col customWidth="1" min="8" max="8" width="6.63"/>
    <col customWidth="1" min="9" max="9" width="4.38"/>
    <col customWidth="1" min="10" max="13" width="3.63"/>
    <col customWidth="1" min="14" max="14" width="5.63"/>
    <col customWidth="1" min="15" max="15" width="7.25"/>
    <col customWidth="1" min="16" max="17" width="3.63"/>
    <col customWidth="1" min="18" max="18" width="8.13"/>
    <col customWidth="1" min="19" max="19" width="7.5"/>
    <col customWidth="1" min="20" max="20" width="8.13"/>
    <col customWidth="1" min="21" max="22" width="3.63"/>
    <col customWidth="1" min="23" max="23" width="8.25"/>
    <col customWidth="1" min="24" max="24" width="5.63"/>
    <col customWidth="1" min="25" max="25" width="8.25"/>
    <col customWidth="1" min="26" max="26" width="3.63"/>
  </cols>
  <sheetData>
    <row r="1">
      <c r="A1" s="1" t="str">
        <f>IFERROR(__xludf.DUMMYFUNCTION("IMPORTRANGE(""1ZPOqQHbu3GgkppWiT-MJmzSSa45xtiJhgLbHBetpC4Q"",""ALGEBRA_PF3!A1:O30"")"),"No")</f>
        <v>No</v>
      </c>
      <c r="B1" s="2" t="str">
        <f>IFERROR(__xludf.DUMMYFUNCTION("""COMPUTED_VALUE"""),"ESTUDIANTE")</f>
        <v>ESTUDIANTE</v>
      </c>
      <c r="C1" s="3" t="str">
        <f>IFERROR(__xludf.DUMMYFUNCTION("""COMPUTED_VALUE"""),"P1")</f>
        <v>P1</v>
      </c>
      <c r="D1" s="3" t="str">
        <f>IFERROR(__xludf.DUMMYFUNCTION("""COMPUTED_VALUE"""),"P2")</f>
        <v>P2</v>
      </c>
      <c r="E1" s="3" t="str">
        <f>IFERROR(__xludf.DUMMYFUNCTION("""COMPUTED_VALUE"""),"P3")</f>
        <v>P3</v>
      </c>
      <c r="F1" s="3" t="str">
        <f>IFERROR(__xludf.DUMMYFUNCTION("""COMPUTED_VALUE"""),"P4")</f>
        <v>P4</v>
      </c>
      <c r="G1" s="4" t="str">
        <f>IFERROR(__xludf.DUMMYFUNCTION("""COMPUTED_VALUE"""),"PQT")</f>
        <v>PQT</v>
      </c>
      <c r="H1" s="11" t="str">
        <f>IFERROR(__xludf.DUMMYFUNCTION("""COMPUTED_VALUE"""),"TUTOR")</f>
        <v>TUTOR</v>
      </c>
      <c r="I1" s="1" t="str">
        <f>IFERROR(__xludf.DUMMYFUNCTION("""COMPUTED_VALUE"""),"Q1")</f>
        <v>Q1</v>
      </c>
      <c r="J1" s="1" t="str">
        <f>IFERROR(__xludf.DUMMYFUNCTION("""COMPUTED_VALUE"""),"Ta1")</f>
        <v>Ta1</v>
      </c>
      <c r="K1" s="1" t="str">
        <f>IFERROR(__xludf.DUMMYFUNCTION("""COMPUTED_VALUE"""),"Tr1")</f>
        <v>Tr1</v>
      </c>
      <c r="L1" s="1" t="str">
        <f>IFERROR(__xludf.DUMMYFUNCTION("""COMPUTED_VALUE"""),"Q2")</f>
        <v>Q2</v>
      </c>
      <c r="M1" s="1"/>
      <c r="N1" s="1" t="str">
        <f>IFERROR(__xludf.DUMMYFUNCTION("""COMPUTED_VALUE"""),"FINAL")</f>
        <v>FINAL</v>
      </c>
      <c r="O1" s="1" t="str">
        <f>IFERROR(__xludf.DUMMYFUNCTION("""COMPUTED_VALUE"""),"COD")</f>
        <v>COD</v>
      </c>
      <c r="P1" s="1"/>
      <c r="Q1" s="1"/>
      <c r="R1" s="1"/>
      <c r="S1" s="1"/>
      <c r="T1" s="1"/>
      <c r="U1" s="1"/>
      <c r="V1" s="1"/>
      <c r="W1" s="1"/>
      <c r="X1" s="1"/>
      <c r="Y1" s="1"/>
      <c r="Z1" s="8"/>
    </row>
    <row r="2">
      <c r="A2" s="8">
        <f>IFERROR(__xludf.DUMMYFUNCTION("""COMPUTED_VALUE"""),1.0)</f>
        <v>1</v>
      </c>
      <c r="B2" s="9" t="str">
        <f>IFERROR(__xludf.DUMMYFUNCTION("""COMPUTED_VALUE"""),"ALARCON TORRES RUTH ALEJANDRA")</f>
        <v>ALARCON TORRES RUTH ALEJANDRA</v>
      </c>
      <c r="C2" s="10">
        <f>IFERROR(__xludf.DUMMYFUNCTION("""COMPUTED_VALUE"""),3.3)</f>
        <v>3.3</v>
      </c>
      <c r="D2" s="10"/>
      <c r="E2" s="10"/>
      <c r="F2" s="10"/>
      <c r="G2" s="17">
        <f>IFERROR(__xludf.DUMMYFUNCTION("""COMPUTED_VALUE"""),4.8)</f>
        <v>4.8</v>
      </c>
      <c r="H2" s="19"/>
      <c r="I2" s="8">
        <f>IFERROR(__xludf.DUMMYFUNCTION("""COMPUTED_VALUE"""),5.0)</f>
        <v>5</v>
      </c>
      <c r="J2" s="8">
        <f>IFERROR(__xludf.DUMMYFUNCTION("""COMPUTED_VALUE"""),4.5)</f>
        <v>4.5</v>
      </c>
      <c r="K2" s="8">
        <f>IFERROR(__xludf.DUMMYFUNCTION("""COMPUTED_VALUE"""),5.0)</f>
        <v>5</v>
      </c>
      <c r="L2" s="8">
        <f>IFERROR(__xludf.DUMMYFUNCTION("""COMPUTED_VALUE"""),5.0)</f>
        <v>5</v>
      </c>
      <c r="M2" s="8"/>
      <c r="N2" s="20">
        <f>IFERROR(__xludf.DUMMYFUNCTION("""COMPUTED_VALUE"""),0.9749999999999999)</f>
        <v>0.975</v>
      </c>
      <c r="O2" s="8">
        <f>IFERROR(__xludf.DUMMYFUNCTION("""COMPUTED_VALUE"""),2262798.0)</f>
        <v>2262798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>
        <f>IFERROR(__xludf.DUMMYFUNCTION("""COMPUTED_VALUE"""),2.0)</f>
        <v>2</v>
      </c>
      <c r="B3" s="9" t="str">
        <f>IFERROR(__xludf.DUMMYFUNCTION("""COMPUTED_VALUE"""),"ARIZA SANDOVAL MABEL SARELYT")</f>
        <v>ARIZA SANDOVAL MABEL SARELYT</v>
      </c>
      <c r="C3" s="10">
        <f>IFERROR(__xludf.DUMMYFUNCTION("""COMPUTED_VALUE"""),5.0)</f>
        <v>5</v>
      </c>
      <c r="D3" s="10"/>
      <c r="E3" s="10"/>
      <c r="F3" s="10"/>
      <c r="G3" s="17">
        <f>IFERROR(__xludf.DUMMYFUNCTION("""COMPUTED_VALUE"""),4.0)</f>
        <v>4</v>
      </c>
      <c r="H3" s="19"/>
      <c r="I3" s="8">
        <f>IFERROR(__xludf.DUMMYFUNCTION("""COMPUTED_VALUE"""),3.4)</f>
        <v>3.4</v>
      </c>
      <c r="J3" s="8">
        <f>IFERROR(__xludf.DUMMYFUNCTION("""COMPUTED_VALUE"""),3.6)</f>
        <v>3.6</v>
      </c>
      <c r="K3" s="8">
        <f>IFERROR(__xludf.DUMMYFUNCTION("""COMPUTED_VALUE"""),5.0)</f>
        <v>5</v>
      </c>
      <c r="L3" s="8">
        <f>IFERROR(__xludf.DUMMYFUNCTION("""COMPUTED_VALUE"""),5.0)</f>
        <v>5</v>
      </c>
      <c r="M3" s="8"/>
      <c r="N3" s="20">
        <f>IFERROR(__xludf.DUMMYFUNCTION("""COMPUTED_VALUE"""),1.15)</f>
        <v>1.15</v>
      </c>
      <c r="O3" s="8">
        <f>IFERROR(__xludf.DUMMYFUNCTION("""COMPUTED_VALUE"""),2261614.0)</f>
        <v>2261614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>
        <f>IFERROR(__xludf.DUMMYFUNCTION("""COMPUTED_VALUE"""),3.0)</f>
        <v>3</v>
      </c>
      <c r="B4" s="9" t="str">
        <f>IFERROR(__xludf.DUMMYFUNCTION("""COMPUTED_VALUE"""),"DE LA CRUZ CABANZO MATIAS")</f>
        <v>DE LA CRUZ CABANZO MATIAS</v>
      </c>
      <c r="C4" s="10">
        <f>IFERROR(__xludf.DUMMYFUNCTION("""COMPUTED_VALUE"""),5.0)</f>
        <v>5</v>
      </c>
      <c r="D4" s="10"/>
      <c r="E4" s="10"/>
      <c r="F4" s="10"/>
      <c r="G4" s="17">
        <f>IFERROR(__xludf.DUMMYFUNCTION("""COMPUTED_VALUE"""),4.6)</f>
        <v>4.6</v>
      </c>
      <c r="H4" s="19"/>
      <c r="I4" s="8">
        <f>IFERROR(__xludf.DUMMYFUNCTION("""COMPUTED_VALUE"""),3.8)</f>
        <v>3.8</v>
      </c>
      <c r="J4" s="8">
        <f>IFERROR(__xludf.DUMMYFUNCTION("""COMPUTED_VALUE"""),5.0)</f>
        <v>5</v>
      </c>
      <c r="K4" s="8">
        <f>IFERROR(__xludf.DUMMYFUNCTION("""COMPUTED_VALUE"""),5.0)</f>
        <v>5</v>
      </c>
      <c r="L4" s="8">
        <f>IFERROR(__xludf.DUMMYFUNCTION("""COMPUTED_VALUE"""),5.0)</f>
        <v>5</v>
      </c>
      <c r="M4" s="8"/>
      <c r="N4" s="20">
        <f>IFERROR(__xludf.DUMMYFUNCTION("""COMPUTED_VALUE"""),1.21)</f>
        <v>1.21</v>
      </c>
      <c r="O4" s="8">
        <f>IFERROR(__xludf.DUMMYFUNCTION("""COMPUTED_VALUE"""),2263262.0)</f>
        <v>2263262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>
        <f>IFERROR(__xludf.DUMMYFUNCTION("""COMPUTED_VALUE"""),4.0)</f>
        <v>4</v>
      </c>
      <c r="B5" s="9" t="str">
        <f>IFERROR(__xludf.DUMMYFUNCTION("""COMPUTED_VALUE"""),"DELGADO RAMIREZ JULIAN MATEO")</f>
        <v>DELGADO RAMIREZ JULIAN MATEO</v>
      </c>
      <c r="C5" s="10">
        <f>IFERROR(__xludf.DUMMYFUNCTION("""COMPUTED_VALUE"""),4.7)</f>
        <v>4.7</v>
      </c>
      <c r="D5" s="10"/>
      <c r="E5" s="10"/>
      <c r="F5" s="10"/>
      <c r="G5" s="17">
        <f>IFERROR(__xludf.DUMMYFUNCTION("""COMPUTED_VALUE"""),4.6)</f>
        <v>4.6</v>
      </c>
      <c r="H5" s="19"/>
      <c r="I5" s="8">
        <f>IFERROR(__xludf.DUMMYFUNCTION("""COMPUTED_VALUE"""),5.0)</f>
        <v>5</v>
      </c>
      <c r="J5" s="8">
        <f>IFERROR(__xludf.DUMMYFUNCTION("""COMPUTED_VALUE"""),3.8)</f>
        <v>3.8</v>
      </c>
      <c r="K5" s="8">
        <f>IFERROR(__xludf.DUMMYFUNCTION("""COMPUTED_VALUE"""),5.0)</f>
        <v>5</v>
      </c>
      <c r="L5" s="8">
        <f>IFERROR(__xludf.DUMMYFUNCTION("""COMPUTED_VALUE"""),5.0)</f>
        <v>5</v>
      </c>
      <c r="M5" s="8"/>
      <c r="N5" s="20">
        <f>IFERROR(__xludf.DUMMYFUNCTION("""COMPUTED_VALUE"""),1.165)</f>
        <v>1.165</v>
      </c>
      <c r="O5" s="8">
        <f>IFERROR(__xludf.DUMMYFUNCTION("""COMPUTED_VALUE"""),2262846.0)</f>
        <v>2262846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>
        <f>IFERROR(__xludf.DUMMYFUNCTION("""COMPUTED_VALUE"""),5.0)</f>
        <v>5</v>
      </c>
      <c r="B6" s="9" t="str">
        <f>IFERROR(__xludf.DUMMYFUNCTION("""COMPUTED_VALUE"""),"DUARTE VALENCIA JOEL ESTEBAN")</f>
        <v>DUARTE VALENCIA JOEL ESTEBAN</v>
      </c>
      <c r="C6" s="10">
        <f>IFERROR(__xludf.DUMMYFUNCTION("""COMPUTED_VALUE"""),5.0)</f>
        <v>5</v>
      </c>
      <c r="D6" s="10"/>
      <c r="E6" s="10"/>
      <c r="F6" s="10"/>
      <c r="G6" s="17">
        <f>IFERROR(__xludf.DUMMYFUNCTION("""COMPUTED_VALUE"""),4.5)</f>
        <v>4.5</v>
      </c>
      <c r="H6" s="19"/>
      <c r="I6" s="8">
        <f>IFERROR(__xludf.DUMMYFUNCTION("""COMPUTED_VALUE"""),3.4)</f>
        <v>3.4</v>
      </c>
      <c r="J6" s="8">
        <f>IFERROR(__xludf.DUMMYFUNCTION("""COMPUTED_VALUE"""),5.0)</f>
        <v>5</v>
      </c>
      <c r="K6" s="8">
        <f>IFERROR(__xludf.DUMMYFUNCTION("""COMPUTED_VALUE"""),5.0)</f>
        <v>5</v>
      </c>
      <c r="L6" s="8">
        <f>IFERROR(__xludf.DUMMYFUNCTION("""COMPUTED_VALUE"""),5.0)</f>
        <v>5</v>
      </c>
      <c r="M6" s="8"/>
      <c r="N6" s="20">
        <f>IFERROR(__xludf.DUMMYFUNCTION("""COMPUTED_VALUE"""),1.2)</f>
        <v>1.2</v>
      </c>
      <c r="O6" s="8">
        <f>IFERROR(__xludf.DUMMYFUNCTION("""COMPUTED_VALUE"""),2253791.0)</f>
        <v>2253791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>
        <f>IFERROR(__xludf.DUMMYFUNCTION("""COMPUTED_VALUE"""),6.0)</f>
        <v>6</v>
      </c>
      <c r="B7" s="9" t="str">
        <f>IFERROR(__xludf.DUMMYFUNCTION("""COMPUTED_VALUE"""),"DURAN MEJIA MAICOL DANIEL")</f>
        <v>DURAN MEJIA MAICOL DANIEL</v>
      </c>
      <c r="C7" s="10">
        <f>IFERROR(__xludf.DUMMYFUNCTION("""COMPUTED_VALUE"""),5.0)</f>
        <v>5</v>
      </c>
      <c r="D7" s="10"/>
      <c r="E7" s="10"/>
      <c r="F7" s="10"/>
      <c r="G7" s="17">
        <f>IFERROR(__xludf.DUMMYFUNCTION("""COMPUTED_VALUE"""),4.2)</f>
        <v>4.2</v>
      </c>
      <c r="H7" s="19"/>
      <c r="I7" s="8">
        <f>IFERROR(__xludf.DUMMYFUNCTION("""COMPUTED_VALUE"""),3.8)</f>
        <v>3.8</v>
      </c>
      <c r="J7" s="8">
        <f>IFERROR(__xludf.DUMMYFUNCTION("""COMPUTED_VALUE"""),3.8)</f>
        <v>3.8</v>
      </c>
      <c r="K7" s="8">
        <f>IFERROR(__xludf.DUMMYFUNCTION("""COMPUTED_VALUE"""),5.0)</f>
        <v>5</v>
      </c>
      <c r="L7" s="8">
        <f>IFERROR(__xludf.DUMMYFUNCTION("""COMPUTED_VALUE"""),5.0)</f>
        <v>5</v>
      </c>
      <c r="M7" s="8"/>
      <c r="N7" s="20">
        <f>IFERROR(__xludf.DUMMYFUNCTION("""COMPUTED_VALUE"""),1.17)</f>
        <v>1.17</v>
      </c>
      <c r="O7" s="8">
        <f>IFERROR(__xludf.DUMMYFUNCTION("""COMPUTED_VALUE"""),2262988.0)</f>
        <v>2262988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>
        <f>IFERROR(__xludf.DUMMYFUNCTION("""COMPUTED_VALUE"""),7.0)</f>
        <v>7</v>
      </c>
      <c r="B8" s="9" t="str">
        <f>IFERROR(__xludf.DUMMYFUNCTION("""COMPUTED_VALUE"""),"FORERO GUZMAN DAVID SANTIAGO")</f>
        <v>FORERO GUZMAN DAVID SANTIAGO</v>
      </c>
      <c r="C8" s="10">
        <f>IFERROR(__xludf.DUMMYFUNCTION("""COMPUTED_VALUE"""),0.0)</f>
        <v>0</v>
      </c>
      <c r="D8" s="10"/>
      <c r="E8" s="10"/>
      <c r="F8" s="10"/>
      <c r="G8" s="17">
        <f>IFERROR(__xludf.DUMMYFUNCTION("""COMPUTED_VALUE"""),0.0)</f>
        <v>0</v>
      </c>
      <c r="H8" s="19"/>
      <c r="I8" s="8">
        <f>IFERROR(__xludf.DUMMYFUNCTION("""COMPUTED_VALUE"""),0.0)</f>
        <v>0</v>
      </c>
      <c r="J8" s="8">
        <f>IFERROR(__xludf.DUMMYFUNCTION("""COMPUTED_VALUE"""),0.0)</f>
        <v>0</v>
      </c>
      <c r="K8" s="8">
        <f>IFERROR(__xludf.DUMMYFUNCTION("""COMPUTED_VALUE"""),0.0)</f>
        <v>0</v>
      </c>
      <c r="L8" s="8">
        <f>IFERROR(__xludf.DUMMYFUNCTION("""COMPUTED_VALUE"""),0.0)</f>
        <v>0</v>
      </c>
      <c r="M8" s="8"/>
      <c r="N8" s="20">
        <f>IFERROR(__xludf.DUMMYFUNCTION("""COMPUTED_VALUE"""),0.0)</f>
        <v>0</v>
      </c>
      <c r="O8" s="8">
        <f>IFERROR(__xludf.DUMMYFUNCTION("""COMPUTED_VALUE"""),2263059.0)</f>
        <v>2263059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>
        <f>IFERROR(__xludf.DUMMYFUNCTION("""COMPUTED_VALUE"""),8.0)</f>
        <v>8</v>
      </c>
      <c r="B9" s="9" t="str">
        <f>IFERROR(__xludf.DUMMYFUNCTION("""COMPUTED_VALUE"""),"GARCIA ARIZA NICOLAS MATIAS")</f>
        <v>GARCIA ARIZA NICOLAS MATIAS</v>
      </c>
      <c r="C9" s="10">
        <f>IFERROR(__xludf.DUMMYFUNCTION("""COMPUTED_VALUE"""),5.0)</f>
        <v>5</v>
      </c>
      <c r="D9" s="10"/>
      <c r="E9" s="10"/>
      <c r="F9" s="10"/>
      <c r="G9" s="17">
        <f>IFERROR(__xludf.DUMMYFUNCTION("""COMPUTED_VALUE"""),3.5)</f>
        <v>3.5</v>
      </c>
      <c r="H9" s="19"/>
      <c r="I9" s="8">
        <f>IFERROR(__xludf.DUMMYFUNCTION("""COMPUTED_VALUE"""),2.5)</f>
        <v>2.5</v>
      </c>
      <c r="J9" s="8">
        <f>IFERROR(__xludf.DUMMYFUNCTION("""COMPUTED_VALUE"""),3.0)</f>
        <v>3</v>
      </c>
      <c r="K9" s="8">
        <f>IFERROR(__xludf.DUMMYFUNCTION("""COMPUTED_VALUE"""),5.0)</f>
        <v>5</v>
      </c>
      <c r="L9" s="8">
        <f>IFERROR(__xludf.DUMMYFUNCTION("""COMPUTED_VALUE"""),5.0)</f>
        <v>5</v>
      </c>
      <c r="M9" s="8"/>
      <c r="N9" s="20">
        <f>IFERROR(__xludf.DUMMYFUNCTION("""COMPUTED_VALUE"""),1.1)</f>
        <v>1.1</v>
      </c>
      <c r="O9" s="8">
        <f>IFERROR(__xludf.DUMMYFUNCTION("""COMPUTED_VALUE"""),2262852.0)</f>
        <v>2262852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>
        <f>IFERROR(__xludf.DUMMYFUNCTION("""COMPUTED_VALUE"""),9.0)</f>
        <v>9</v>
      </c>
      <c r="B10" s="9" t="str">
        <f>IFERROR(__xludf.DUMMYFUNCTION("""COMPUTED_VALUE"""),"GARCIA BARRERA LEONARD DAVID")</f>
        <v>GARCIA BARRERA LEONARD DAVID</v>
      </c>
      <c r="C10" s="10">
        <f>IFERROR(__xludf.DUMMYFUNCTION("""COMPUTED_VALUE"""),4.4)</f>
        <v>4.4</v>
      </c>
      <c r="D10" s="10"/>
      <c r="E10" s="10"/>
      <c r="F10" s="10"/>
      <c r="G10" s="17">
        <f>IFERROR(__xludf.DUMMYFUNCTION("""COMPUTED_VALUE"""),2.9)</f>
        <v>2.9</v>
      </c>
      <c r="H10" s="19"/>
      <c r="I10" s="8">
        <f>IFERROR(__xludf.DUMMYFUNCTION("""COMPUTED_VALUE"""),5.0)</f>
        <v>5</v>
      </c>
      <c r="J10" s="8">
        <f>IFERROR(__xludf.DUMMYFUNCTION("""COMPUTED_VALUE"""),3.8)</f>
        <v>3.8</v>
      </c>
      <c r="K10" s="8">
        <f>IFERROR(__xludf.DUMMYFUNCTION("""COMPUTED_VALUE"""),0.0)</f>
        <v>0</v>
      </c>
      <c r="L10" s="8">
        <f>IFERROR(__xludf.DUMMYFUNCTION("""COMPUTED_VALUE"""),0.0)</f>
        <v>0</v>
      </c>
      <c r="M10" s="8"/>
      <c r="N10" s="20">
        <f>IFERROR(__xludf.DUMMYFUNCTION("""COMPUTED_VALUE"""),0.95)</f>
        <v>0.95</v>
      </c>
      <c r="O10" s="8">
        <f>IFERROR(__xludf.DUMMYFUNCTION("""COMPUTED_VALUE"""),2263024.0)</f>
        <v>2263024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>
        <f>IFERROR(__xludf.DUMMYFUNCTION("""COMPUTED_VALUE"""),10.0)</f>
        <v>10</v>
      </c>
      <c r="B11" s="9" t="str">
        <f>IFERROR(__xludf.DUMMYFUNCTION("""COMPUTED_VALUE"""),"GOMEZ JACOME CRISTHIAN JAVIER")</f>
        <v>GOMEZ JACOME CRISTHIAN JAVIER</v>
      </c>
      <c r="C11" s="10">
        <f>IFERROR(__xludf.DUMMYFUNCTION("""COMPUTED_VALUE"""),3.7)</f>
        <v>3.7</v>
      </c>
      <c r="D11" s="10"/>
      <c r="E11" s="10"/>
      <c r="F11" s="10"/>
      <c r="G11" s="17">
        <f>IFERROR(__xludf.DUMMYFUNCTION("""COMPUTED_VALUE"""),4.5)</f>
        <v>4.5</v>
      </c>
      <c r="H11" s="19"/>
      <c r="I11" s="8">
        <f>IFERROR(__xludf.DUMMYFUNCTION("""COMPUTED_VALUE"""),3.5)</f>
        <v>3.5</v>
      </c>
      <c r="J11" s="8">
        <f>IFERROR(__xludf.DUMMYFUNCTION("""COMPUTED_VALUE"""),5.0)</f>
        <v>5</v>
      </c>
      <c r="K11" s="8">
        <f>IFERROR(__xludf.DUMMYFUNCTION("""COMPUTED_VALUE"""),5.0)</f>
        <v>5</v>
      </c>
      <c r="L11" s="8">
        <f>IFERROR(__xludf.DUMMYFUNCTION("""COMPUTED_VALUE"""),5.0)</f>
        <v>5</v>
      </c>
      <c r="M11" s="8"/>
      <c r="N11" s="20">
        <f>IFERROR(__xludf.DUMMYFUNCTION("""COMPUTED_VALUE"""),1.0050000000000001)</f>
        <v>1.005</v>
      </c>
      <c r="O11" s="8">
        <f>IFERROR(__xludf.DUMMYFUNCTION("""COMPUTED_VALUE"""),2262408.0)</f>
        <v>2262408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>
        <f>IFERROR(__xludf.DUMMYFUNCTION("""COMPUTED_VALUE"""),11.0)</f>
        <v>11</v>
      </c>
      <c r="B12" s="9" t="str">
        <f>IFERROR(__xludf.DUMMYFUNCTION("""COMPUTED_VALUE"""),"GRANADOS GOMEZ BRAYAN SNEIDER")</f>
        <v>GRANADOS GOMEZ BRAYAN SNEIDER</v>
      </c>
      <c r="C12" s="10">
        <f>IFERROR(__xludf.DUMMYFUNCTION("""COMPUTED_VALUE"""),3.6)</f>
        <v>3.6</v>
      </c>
      <c r="D12" s="10"/>
      <c r="E12" s="10"/>
      <c r="F12" s="10"/>
      <c r="G12" s="17">
        <f>IFERROR(__xludf.DUMMYFUNCTION("""COMPUTED_VALUE"""),3.3)</f>
        <v>3.3</v>
      </c>
      <c r="H12" s="19"/>
      <c r="I12" s="8">
        <f>IFERROR(__xludf.DUMMYFUNCTION("""COMPUTED_VALUE"""),3.0)</f>
        <v>3</v>
      </c>
      <c r="J12" s="8">
        <f>IFERROR(__xludf.DUMMYFUNCTION("""COMPUTED_VALUE"""),2.0)</f>
        <v>2</v>
      </c>
      <c r="K12" s="8">
        <f>IFERROR(__xludf.DUMMYFUNCTION("""COMPUTED_VALUE"""),5.0)</f>
        <v>5</v>
      </c>
      <c r="L12" s="8">
        <f>IFERROR(__xludf.DUMMYFUNCTION("""COMPUTED_VALUE"""),5.0)</f>
        <v>5</v>
      </c>
      <c r="M12" s="8"/>
      <c r="N12" s="20">
        <f>IFERROR(__xludf.DUMMYFUNCTION("""COMPUTED_VALUE"""),0.8700000000000001)</f>
        <v>0.87</v>
      </c>
      <c r="O12" s="8">
        <f>IFERROR(__xludf.DUMMYFUNCTION("""COMPUTED_VALUE"""),2262903.0)</f>
        <v>2262903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>
        <f>IFERROR(__xludf.DUMMYFUNCTION("""COMPUTED_VALUE"""),12.0)</f>
        <v>12</v>
      </c>
      <c r="B13" s="9" t="str">
        <f>IFERROR(__xludf.DUMMYFUNCTION("""COMPUTED_VALUE"""),"LUNA RODRIGUEZ OSCAR JULIAN")</f>
        <v>LUNA RODRIGUEZ OSCAR JULIAN</v>
      </c>
      <c r="C13" s="10">
        <f>IFERROR(__xludf.DUMMYFUNCTION("""COMPUTED_VALUE"""),4.8)</f>
        <v>4.8</v>
      </c>
      <c r="D13" s="10"/>
      <c r="E13" s="10"/>
      <c r="F13" s="10"/>
      <c r="G13" s="17">
        <f>IFERROR(__xludf.DUMMYFUNCTION("""COMPUTED_VALUE"""),3.6)</f>
        <v>3.6</v>
      </c>
      <c r="H13" s="19"/>
      <c r="I13" s="8">
        <f>IFERROR(__xludf.DUMMYFUNCTION("""COMPUTED_VALUE"""),2.0)</f>
        <v>2</v>
      </c>
      <c r="J13" s="8">
        <f>IFERROR(__xludf.DUMMYFUNCTION("""COMPUTED_VALUE"""),3.8)</f>
        <v>3.8</v>
      </c>
      <c r="K13" s="8">
        <f>IFERROR(__xludf.DUMMYFUNCTION("""COMPUTED_VALUE"""),5.0)</f>
        <v>5</v>
      </c>
      <c r="L13" s="8">
        <f>IFERROR(__xludf.DUMMYFUNCTION("""COMPUTED_VALUE"""),5.0)</f>
        <v>5</v>
      </c>
      <c r="M13" s="8"/>
      <c r="N13" s="20">
        <f>IFERROR(__xludf.DUMMYFUNCTION("""COMPUTED_VALUE"""),1.08)</f>
        <v>1.08</v>
      </c>
      <c r="O13" s="8">
        <f>IFERROR(__xludf.DUMMYFUNCTION("""COMPUTED_VALUE"""),2263076.0)</f>
        <v>2263076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>
        <f>IFERROR(__xludf.DUMMYFUNCTION("""COMPUTED_VALUE"""),13.0)</f>
        <v>13</v>
      </c>
      <c r="B14" s="9" t="str">
        <f>IFERROR(__xludf.DUMMYFUNCTION("""COMPUTED_VALUE"""),"MARIN PINEDA NICOLAS")</f>
        <v>MARIN PINEDA NICOLAS</v>
      </c>
      <c r="C14" s="10">
        <f>IFERROR(__xludf.DUMMYFUNCTION("""COMPUTED_VALUE"""),4.8)</f>
        <v>4.8</v>
      </c>
      <c r="D14" s="10"/>
      <c r="E14" s="10"/>
      <c r="F14" s="10"/>
      <c r="G14" s="17">
        <f>IFERROR(__xludf.DUMMYFUNCTION("""COMPUTED_VALUE"""),3.5)</f>
        <v>3.5</v>
      </c>
      <c r="H14" s="19"/>
      <c r="I14" s="8">
        <f>IFERROR(__xludf.DUMMYFUNCTION("""COMPUTED_VALUE"""),3.4)</f>
        <v>3.4</v>
      </c>
      <c r="J14" s="8">
        <f>IFERROR(__xludf.DUMMYFUNCTION("""COMPUTED_VALUE"""),2.0)</f>
        <v>2</v>
      </c>
      <c r="K14" s="8">
        <f>IFERROR(__xludf.DUMMYFUNCTION("""COMPUTED_VALUE"""),5.0)</f>
        <v>5</v>
      </c>
      <c r="L14" s="8">
        <f>IFERROR(__xludf.DUMMYFUNCTION("""COMPUTED_VALUE"""),3.5)</f>
        <v>3.5</v>
      </c>
      <c r="M14" s="8"/>
      <c r="N14" s="20">
        <f>IFERROR(__xludf.DUMMYFUNCTION("""COMPUTED_VALUE"""),1.07)</f>
        <v>1.07</v>
      </c>
      <c r="O14" s="8">
        <f>IFERROR(__xludf.DUMMYFUNCTION("""COMPUTED_VALUE"""),2263291.0)</f>
        <v>2263291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>
        <f>IFERROR(__xludf.DUMMYFUNCTION("""COMPUTED_VALUE"""),14.0)</f>
        <v>14</v>
      </c>
      <c r="B15" s="9" t="str">
        <f>IFERROR(__xludf.DUMMYFUNCTION("""COMPUTED_VALUE"""),"MARQUEZ CASTAÑEDA JUAN ESTEBAN")</f>
        <v>MARQUEZ CASTAÑEDA JUAN ESTEBAN</v>
      </c>
      <c r="C15" s="10">
        <f>IFERROR(__xludf.DUMMYFUNCTION("""COMPUTED_VALUE"""),5.0)</f>
        <v>5</v>
      </c>
      <c r="D15" s="10"/>
      <c r="E15" s="10"/>
      <c r="F15" s="10"/>
      <c r="G15" s="17">
        <f>IFERROR(__xludf.DUMMYFUNCTION("""COMPUTED_VALUE"""),3.7)</f>
        <v>3.7</v>
      </c>
      <c r="H15" s="19"/>
      <c r="I15" s="8">
        <f>IFERROR(__xludf.DUMMYFUNCTION("""COMPUTED_VALUE"""),1.0)</f>
        <v>1</v>
      </c>
      <c r="J15" s="8">
        <f>IFERROR(__xludf.DUMMYFUNCTION("""COMPUTED_VALUE"""),5.0)</f>
        <v>5</v>
      </c>
      <c r="K15" s="8">
        <f>IFERROR(__xludf.DUMMYFUNCTION("""COMPUTED_VALUE"""),5.0)</f>
        <v>5</v>
      </c>
      <c r="L15" s="8">
        <f>IFERROR(__xludf.DUMMYFUNCTION("""COMPUTED_VALUE"""),5.0)</f>
        <v>5</v>
      </c>
      <c r="M15" s="8"/>
      <c r="N15" s="20">
        <f>IFERROR(__xludf.DUMMYFUNCTION("""COMPUTED_VALUE"""),1.12)</f>
        <v>1.12</v>
      </c>
      <c r="O15" s="8">
        <f>IFERROR(__xludf.DUMMYFUNCTION("""COMPUTED_VALUE"""),2262833.0)</f>
        <v>2262833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>
        <f>IFERROR(__xludf.DUMMYFUNCTION("""COMPUTED_VALUE"""),15.0)</f>
        <v>15</v>
      </c>
      <c r="B16" s="9" t="str">
        <f>IFERROR(__xludf.DUMMYFUNCTION("""COMPUTED_VALUE"""),"MONROY ESCOBAR SAMUEL")</f>
        <v>MONROY ESCOBAR SAMUEL</v>
      </c>
      <c r="C16" s="10">
        <f>IFERROR(__xludf.DUMMYFUNCTION("""COMPUTED_VALUE"""),3.6)</f>
        <v>3.6</v>
      </c>
      <c r="D16" s="10"/>
      <c r="E16" s="10"/>
      <c r="F16" s="10"/>
      <c r="G16" s="17">
        <f>IFERROR(__xludf.DUMMYFUNCTION("""COMPUTED_VALUE"""),3.9)</f>
        <v>3.9</v>
      </c>
      <c r="H16" s="19"/>
      <c r="I16" s="8">
        <f>IFERROR(__xludf.DUMMYFUNCTION("""COMPUTED_VALUE"""),2.0)</f>
        <v>2</v>
      </c>
      <c r="J16" s="8">
        <f>IFERROR(__xludf.DUMMYFUNCTION("""COMPUTED_VALUE"""),4.6)</f>
        <v>4.6</v>
      </c>
      <c r="K16" s="8">
        <f>IFERROR(__xludf.DUMMYFUNCTION("""COMPUTED_VALUE"""),5.0)</f>
        <v>5</v>
      </c>
      <c r="L16" s="8">
        <f>IFERROR(__xludf.DUMMYFUNCTION("""COMPUTED_VALUE"""),5.0)</f>
        <v>5</v>
      </c>
      <c r="M16" s="8"/>
      <c r="N16" s="20">
        <f>IFERROR(__xludf.DUMMYFUNCTION("""COMPUTED_VALUE"""),0.93)</f>
        <v>0.93</v>
      </c>
      <c r="O16" s="8">
        <f>IFERROR(__xludf.DUMMYFUNCTION("""COMPUTED_VALUE"""),2262797.0)</f>
        <v>2262797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>
        <f>IFERROR(__xludf.DUMMYFUNCTION("""COMPUTED_VALUE"""),16.0)</f>
        <v>16</v>
      </c>
      <c r="B17" s="9" t="str">
        <f>IFERROR(__xludf.DUMMYFUNCTION("""COMPUTED_VALUE"""),"MUÑOZ PINZON VANESSA")</f>
        <v>MUÑOZ PINZON VANESSA</v>
      </c>
      <c r="C17" s="10">
        <f>IFERROR(__xludf.DUMMYFUNCTION("""COMPUTED_VALUE"""),3.3)</f>
        <v>3.3</v>
      </c>
      <c r="D17" s="10"/>
      <c r="E17" s="10"/>
      <c r="F17" s="10"/>
      <c r="G17" s="17">
        <f>IFERROR(__xludf.DUMMYFUNCTION("""COMPUTED_VALUE"""),3.5)</f>
        <v>3.5</v>
      </c>
      <c r="H17" s="19"/>
      <c r="I17" s="8">
        <f>IFERROR(__xludf.DUMMYFUNCTION("""COMPUTED_VALUE"""),1.6)</f>
        <v>1.6</v>
      </c>
      <c r="J17" s="8">
        <f>IFERROR(__xludf.DUMMYFUNCTION("""COMPUTED_VALUE"""),3.8)</f>
        <v>3.8</v>
      </c>
      <c r="K17" s="8">
        <f>IFERROR(__xludf.DUMMYFUNCTION("""COMPUTED_VALUE"""),5.0)</f>
        <v>5</v>
      </c>
      <c r="L17" s="8">
        <f>IFERROR(__xludf.DUMMYFUNCTION("""COMPUTED_VALUE"""),5.0)</f>
        <v>5</v>
      </c>
      <c r="M17" s="8"/>
      <c r="N17" s="20">
        <f>IFERROR(__xludf.DUMMYFUNCTION("""COMPUTED_VALUE"""),0.845)</f>
        <v>0.845</v>
      </c>
      <c r="O17" s="8">
        <f>IFERROR(__xludf.DUMMYFUNCTION("""COMPUTED_VALUE"""),2263036.0)</f>
        <v>2263036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>
        <f>IFERROR(__xludf.DUMMYFUNCTION("""COMPUTED_VALUE"""),17.0)</f>
        <v>17</v>
      </c>
      <c r="B18" s="9" t="str">
        <f>IFERROR(__xludf.DUMMYFUNCTION("""COMPUTED_VALUE"""),"NARVAEZ SUAREZ JHAROL FABIAN")</f>
        <v>NARVAEZ SUAREZ JHAROL FABIAN</v>
      </c>
      <c r="C18" s="10">
        <f>IFERROR(__xludf.DUMMYFUNCTION("""COMPUTED_VALUE"""),2.8)</f>
        <v>2.8</v>
      </c>
      <c r="D18" s="10"/>
      <c r="E18" s="10"/>
      <c r="F18" s="10"/>
      <c r="G18" s="17">
        <f>IFERROR(__xludf.DUMMYFUNCTION("""COMPUTED_VALUE"""),3.9)</f>
        <v>3.9</v>
      </c>
      <c r="H18" s="19"/>
      <c r="I18" s="8">
        <f>IFERROR(__xludf.DUMMYFUNCTION("""COMPUTED_VALUE"""),2.0)</f>
        <v>2</v>
      </c>
      <c r="J18" s="8">
        <f>IFERROR(__xludf.DUMMYFUNCTION("""COMPUTED_VALUE"""),4.6)</f>
        <v>4.6</v>
      </c>
      <c r="K18" s="8">
        <f>IFERROR(__xludf.DUMMYFUNCTION("""COMPUTED_VALUE"""),5.0)</f>
        <v>5</v>
      </c>
      <c r="L18" s="8">
        <f>IFERROR(__xludf.DUMMYFUNCTION("""COMPUTED_VALUE"""),5.0)</f>
        <v>5</v>
      </c>
      <c r="M18" s="8"/>
      <c r="N18" s="20">
        <f>IFERROR(__xludf.DUMMYFUNCTION("""COMPUTED_VALUE"""),0.81)</f>
        <v>0.81</v>
      </c>
      <c r="O18" s="8">
        <f>IFERROR(__xludf.DUMMYFUNCTION("""COMPUTED_VALUE"""),2262913.0)</f>
        <v>2262913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>
        <f>IFERROR(__xludf.DUMMYFUNCTION("""COMPUTED_VALUE"""),18.0)</f>
        <v>18</v>
      </c>
      <c r="B19" s="9" t="str">
        <f>IFERROR(__xludf.DUMMYFUNCTION("""COMPUTED_VALUE"""),"OBREGON DUARTE ANDRES JOSE")</f>
        <v>OBREGON DUARTE ANDRES JOSE</v>
      </c>
      <c r="C19" s="10">
        <f>IFERROR(__xludf.DUMMYFUNCTION("""COMPUTED_VALUE"""),5.0)</f>
        <v>5</v>
      </c>
      <c r="D19" s="10"/>
      <c r="E19" s="10"/>
      <c r="F19" s="10"/>
      <c r="G19" s="17">
        <f>IFERROR(__xludf.DUMMYFUNCTION("""COMPUTED_VALUE"""),5.0)</f>
        <v>5</v>
      </c>
      <c r="H19" s="19"/>
      <c r="I19" s="8">
        <f>IFERROR(__xludf.DUMMYFUNCTION("""COMPUTED_VALUE"""),5.0)</f>
        <v>5</v>
      </c>
      <c r="J19" s="8">
        <f>IFERROR(__xludf.DUMMYFUNCTION("""COMPUTED_VALUE"""),5.0)</f>
        <v>5</v>
      </c>
      <c r="K19" s="8">
        <f>IFERROR(__xludf.DUMMYFUNCTION("""COMPUTED_VALUE"""),5.0)</f>
        <v>5</v>
      </c>
      <c r="L19" s="8">
        <f>IFERROR(__xludf.DUMMYFUNCTION("""COMPUTED_VALUE"""),5.0)</f>
        <v>5</v>
      </c>
      <c r="M19" s="8"/>
      <c r="N19" s="20">
        <f>IFERROR(__xludf.DUMMYFUNCTION("""COMPUTED_VALUE"""),1.25)</f>
        <v>1.25</v>
      </c>
      <c r="O19" s="8">
        <f>IFERROR(__xludf.DUMMYFUNCTION("""COMPUTED_VALUE"""),2263115.0)</f>
        <v>2263115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>
        <f>IFERROR(__xludf.DUMMYFUNCTION("""COMPUTED_VALUE"""),19.0)</f>
        <v>19</v>
      </c>
      <c r="B20" s="9" t="str">
        <f>IFERROR(__xludf.DUMMYFUNCTION("""COMPUTED_VALUE"""),"OJEDA JAIMES JOSE DAVID")</f>
        <v>OJEDA JAIMES JOSE DAVID</v>
      </c>
      <c r="C20" s="10">
        <f>IFERROR(__xludf.DUMMYFUNCTION("""COMPUTED_VALUE"""),4.7)</f>
        <v>4.7</v>
      </c>
      <c r="D20" s="10"/>
      <c r="E20" s="10"/>
      <c r="F20" s="10"/>
      <c r="G20" s="17">
        <f>IFERROR(__xludf.DUMMYFUNCTION("""COMPUTED_VALUE"""),4.5)</f>
        <v>4.5</v>
      </c>
      <c r="H20" s="19"/>
      <c r="I20" s="8">
        <f>IFERROR(__xludf.DUMMYFUNCTION("""COMPUTED_VALUE"""),3.4)</f>
        <v>3.4</v>
      </c>
      <c r="J20" s="8">
        <f>IFERROR(__xludf.DUMMYFUNCTION("""COMPUTED_VALUE"""),5.0)</f>
        <v>5</v>
      </c>
      <c r="K20" s="8">
        <f>IFERROR(__xludf.DUMMYFUNCTION("""COMPUTED_VALUE"""),5.0)</f>
        <v>5</v>
      </c>
      <c r="L20" s="8">
        <f>IFERROR(__xludf.DUMMYFUNCTION("""COMPUTED_VALUE"""),5.0)</f>
        <v>5</v>
      </c>
      <c r="M20" s="8"/>
      <c r="N20" s="20">
        <f>IFERROR(__xludf.DUMMYFUNCTION("""COMPUTED_VALUE"""),1.155)</f>
        <v>1.155</v>
      </c>
      <c r="O20" s="8">
        <f>IFERROR(__xludf.DUMMYFUNCTION("""COMPUTED_VALUE"""),2263124.0)</f>
        <v>2263124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>
        <f>IFERROR(__xludf.DUMMYFUNCTION("""COMPUTED_VALUE"""),20.0)</f>
        <v>20</v>
      </c>
      <c r="B21" s="9" t="str">
        <f>IFERROR(__xludf.DUMMYFUNCTION("""COMPUTED_VALUE"""),"PINEDA CERVANTES JUAN DAVID")</f>
        <v>PINEDA CERVANTES JUAN DAVID</v>
      </c>
      <c r="C21" s="10">
        <f>IFERROR(__xludf.DUMMYFUNCTION("""COMPUTED_VALUE"""),5.0)</f>
        <v>5</v>
      </c>
      <c r="D21" s="10"/>
      <c r="E21" s="10"/>
      <c r="F21" s="10"/>
      <c r="G21" s="17">
        <f>IFERROR(__xludf.DUMMYFUNCTION("""COMPUTED_VALUE"""),5.0)</f>
        <v>5</v>
      </c>
      <c r="H21" s="19"/>
      <c r="I21" s="8">
        <f>IFERROR(__xludf.DUMMYFUNCTION("""COMPUTED_VALUE"""),5.0)</f>
        <v>5</v>
      </c>
      <c r="J21" s="8">
        <f>IFERROR(__xludf.DUMMYFUNCTION("""COMPUTED_VALUE"""),5.0)</f>
        <v>5</v>
      </c>
      <c r="K21" s="8">
        <f>IFERROR(__xludf.DUMMYFUNCTION("""COMPUTED_VALUE"""),5.0)</f>
        <v>5</v>
      </c>
      <c r="L21" s="8">
        <f>IFERROR(__xludf.DUMMYFUNCTION("""COMPUTED_VALUE"""),5.0)</f>
        <v>5</v>
      </c>
      <c r="M21" s="8"/>
      <c r="N21" s="20">
        <f>IFERROR(__xludf.DUMMYFUNCTION("""COMPUTED_VALUE"""),1.25)</f>
        <v>1.25</v>
      </c>
      <c r="O21" s="8">
        <f>IFERROR(__xludf.DUMMYFUNCTION("""COMPUTED_VALUE"""),2262915.0)</f>
        <v>2262915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>
        <f>IFERROR(__xludf.DUMMYFUNCTION("""COMPUTED_VALUE"""),21.0)</f>
        <v>21</v>
      </c>
      <c r="B22" s="9" t="str">
        <f>IFERROR(__xludf.DUMMYFUNCTION("""COMPUTED_VALUE"""),"PLAZAS CARO LAURA CAMILA")</f>
        <v>PLAZAS CARO LAURA CAMILA</v>
      </c>
      <c r="C22" s="10">
        <f>IFERROR(__xludf.DUMMYFUNCTION("""COMPUTED_VALUE"""),5.0)</f>
        <v>5</v>
      </c>
      <c r="D22" s="10"/>
      <c r="E22" s="10"/>
      <c r="F22" s="10"/>
      <c r="G22" s="17">
        <f>IFERROR(__xludf.DUMMYFUNCTION("""COMPUTED_VALUE"""),3.5)</f>
        <v>3.5</v>
      </c>
      <c r="H22" s="19"/>
      <c r="I22" s="8">
        <f>IFERROR(__xludf.DUMMYFUNCTION("""COMPUTED_VALUE"""),2.0)</f>
        <v>2</v>
      </c>
      <c r="J22" s="8">
        <f>IFERROR(__xludf.DUMMYFUNCTION("""COMPUTED_VALUE"""),3.6)</f>
        <v>3.6</v>
      </c>
      <c r="K22" s="8">
        <f>IFERROR(__xludf.DUMMYFUNCTION("""COMPUTED_VALUE"""),5.0)</f>
        <v>5</v>
      </c>
      <c r="L22" s="8">
        <f>IFERROR(__xludf.DUMMYFUNCTION("""COMPUTED_VALUE"""),5.0)</f>
        <v>5</v>
      </c>
      <c r="M22" s="8"/>
      <c r="N22" s="20">
        <f>IFERROR(__xludf.DUMMYFUNCTION("""COMPUTED_VALUE"""),1.1)</f>
        <v>1.1</v>
      </c>
      <c r="O22" s="8">
        <f>IFERROR(__xludf.DUMMYFUNCTION("""COMPUTED_VALUE"""),2261867.0)</f>
        <v>2261867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>
        <f>IFERROR(__xludf.DUMMYFUNCTION("""COMPUTED_VALUE"""),22.0)</f>
        <v>22</v>
      </c>
      <c r="B23" s="9" t="str">
        <f>IFERROR(__xludf.DUMMYFUNCTION("""COMPUTED_VALUE"""),"QUEVEDO GUTIERREZ JHOAN DANIEL")</f>
        <v>QUEVEDO GUTIERREZ JHOAN DANIEL</v>
      </c>
      <c r="C23" s="10">
        <f>IFERROR(__xludf.DUMMYFUNCTION("""COMPUTED_VALUE"""),5.0)</f>
        <v>5</v>
      </c>
      <c r="D23" s="10"/>
      <c r="E23" s="10"/>
      <c r="F23" s="10"/>
      <c r="G23" s="17">
        <f>IFERROR(__xludf.DUMMYFUNCTION("""COMPUTED_VALUE"""),5.0)</f>
        <v>5</v>
      </c>
      <c r="H23" s="19"/>
      <c r="I23" s="8">
        <f>IFERROR(__xludf.DUMMYFUNCTION("""COMPUTED_VALUE"""),5.0)</f>
        <v>5</v>
      </c>
      <c r="J23" s="8">
        <f>IFERROR(__xludf.DUMMYFUNCTION("""COMPUTED_VALUE"""),5.0)</f>
        <v>5</v>
      </c>
      <c r="K23" s="8">
        <f>IFERROR(__xludf.DUMMYFUNCTION("""COMPUTED_VALUE"""),5.0)</f>
        <v>5</v>
      </c>
      <c r="L23" s="8">
        <f>IFERROR(__xludf.DUMMYFUNCTION("""COMPUTED_VALUE"""),5.0)</f>
        <v>5</v>
      </c>
      <c r="M23" s="8"/>
      <c r="N23" s="20">
        <f>IFERROR(__xludf.DUMMYFUNCTION("""COMPUTED_VALUE"""),1.25)</f>
        <v>1.25</v>
      </c>
      <c r="O23" s="8">
        <f>IFERROR(__xludf.DUMMYFUNCTION("""COMPUTED_VALUE"""),2262941.0)</f>
        <v>2262941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>
        <f>IFERROR(__xludf.DUMMYFUNCTION("""COMPUTED_VALUE"""),23.0)</f>
        <v>23</v>
      </c>
      <c r="B24" s="9" t="str">
        <f>IFERROR(__xludf.DUMMYFUNCTION("""COMPUTED_VALUE"""),"RINCON RODRIGUEZ JULIAN SANTIAGO")</f>
        <v>RINCON RODRIGUEZ JULIAN SANTIAGO</v>
      </c>
      <c r="C24" s="10">
        <f>IFERROR(__xludf.DUMMYFUNCTION("""COMPUTED_VALUE"""),4.3)</f>
        <v>4.3</v>
      </c>
      <c r="D24" s="10"/>
      <c r="E24" s="10"/>
      <c r="F24" s="10"/>
      <c r="G24" s="17">
        <f>IFERROR(__xludf.DUMMYFUNCTION("""COMPUTED_VALUE"""),3.8)</f>
        <v>3.8</v>
      </c>
      <c r="H24" s="19"/>
      <c r="I24" s="8">
        <f>IFERROR(__xludf.DUMMYFUNCTION("""COMPUTED_VALUE"""),2.0)</f>
        <v>2</v>
      </c>
      <c r="J24" s="8">
        <f>IFERROR(__xludf.DUMMYFUNCTION("""COMPUTED_VALUE"""),4.5)</f>
        <v>4.5</v>
      </c>
      <c r="K24" s="8">
        <f>IFERROR(__xludf.DUMMYFUNCTION("""COMPUTED_VALUE"""),5.0)</f>
        <v>5</v>
      </c>
      <c r="L24" s="8">
        <f>IFERROR(__xludf.DUMMYFUNCTION("""COMPUTED_VALUE"""),5.0)</f>
        <v>5</v>
      </c>
      <c r="M24" s="8"/>
      <c r="N24" s="20">
        <f>IFERROR(__xludf.DUMMYFUNCTION("""COMPUTED_VALUE"""),1.025)</f>
        <v>1.025</v>
      </c>
      <c r="O24" s="8">
        <f>IFERROR(__xludf.DUMMYFUNCTION("""COMPUTED_VALUE"""),2262847.0)</f>
        <v>2262847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>
        <f>IFERROR(__xludf.DUMMYFUNCTION("""COMPUTED_VALUE"""),24.0)</f>
        <v>24</v>
      </c>
      <c r="B25" s="9" t="str">
        <f>IFERROR(__xludf.DUMMYFUNCTION("""COMPUTED_VALUE"""),"RODRIGUEZ RIVERA VALERIA")</f>
        <v>RODRIGUEZ RIVERA VALERIA</v>
      </c>
      <c r="C25" s="10">
        <f>IFERROR(__xludf.DUMMYFUNCTION("""COMPUTED_VALUE"""),5.0)</f>
        <v>5</v>
      </c>
      <c r="D25" s="10"/>
      <c r="E25" s="10"/>
      <c r="F25" s="10"/>
      <c r="G25" s="17">
        <f>IFERROR(__xludf.DUMMYFUNCTION("""COMPUTED_VALUE"""),3.7)</f>
        <v>3.7</v>
      </c>
      <c r="H25" s="19"/>
      <c r="I25" s="8">
        <f>IFERROR(__xludf.DUMMYFUNCTION("""COMPUTED_VALUE"""),3.0)</f>
        <v>3</v>
      </c>
      <c r="J25" s="8">
        <f>IFERROR(__xludf.DUMMYFUNCTION("""COMPUTED_VALUE"""),3.0)</f>
        <v>3</v>
      </c>
      <c r="K25" s="8">
        <f>IFERROR(__xludf.DUMMYFUNCTION("""COMPUTED_VALUE"""),5.0)</f>
        <v>5</v>
      </c>
      <c r="L25" s="8">
        <f>IFERROR(__xludf.DUMMYFUNCTION("""COMPUTED_VALUE"""),3.5)</f>
        <v>3.5</v>
      </c>
      <c r="M25" s="8"/>
      <c r="N25" s="20">
        <f>IFERROR(__xludf.DUMMYFUNCTION("""COMPUTED_VALUE"""),1.12)</f>
        <v>1.12</v>
      </c>
      <c r="O25" s="8">
        <f>IFERROR(__xludf.DUMMYFUNCTION("""COMPUTED_VALUE"""),2262882.0)</f>
        <v>2262882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>
        <f>IFERROR(__xludf.DUMMYFUNCTION("""COMPUTED_VALUE"""),25.0)</f>
        <v>25</v>
      </c>
      <c r="B26" s="9" t="str">
        <f>IFERROR(__xludf.DUMMYFUNCTION("""COMPUTED_VALUE"""),"SERRANO RUEDA ISABELA")</f>
        <v>SERRANO RUEDA ISABELA</v>
      </c>
      <c r="C26" s="10">
        <f>IFERROR(__xludf.DUMMYFUNCTION("""COMPUTED_VALUE"""),3.4)</f>
        <v>3.4</v>
      </c>
      <c r="D26" s="10"/>
      <c r="E26" s="10"/>
      <c r="F26" s="10"/>
      <c r="G26" s="17">
        <f>IFERROR(__xludf.DUMMYFUNCTION("""COMPUTED_VALUE"""),4.2)</f>
        <v>4.2</v>
      </c>
      <c r="H26" s="19"/>
      <c r="I26" s="8">
        <f>IFERROR(__xludf.DUMMYFUNCTION("""COMPUTED_VALUE"""),3.8)</f>
        <v>3.8</v>
      </c>
      <c r="J26" s="8">
        <f>IFERROR(__xludf.DUMMYFUNCTION("""COMPUTED_VALUE"""),3.8)</f>
        <v>3.8</v>
      </c>
      <c r="K26" s="8">
        <f>IFERROR(__xludf.DUMMYFUNCTION("""COMPUTED_VALUE"""),5.0)</f>
        <v>5</v>
      </c>
      <c r="L26" s="8">
        <f>IFERROR(__xludf.DUMMYFUNCTION("""COMPUTED_VALUE"""),5.0)</f>
        <v>5</v>
      </c>
      <c r="M26" s="8"/>
      <c r="N26" s="20">
        <f>IFERROR(__xludf.DUMMYFUNCTION("""COMPUTED_VALUE"""),0.93)</f>
        <v>0.93</v>
      </c>
      <c r="O26" s="8">
        <f>IFERROR(__xludf.DUMMYFUNCTION("""COMPUTED_VALUE"""),2263137.0)</f>
        <v>2263137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>
        <f>IFERROR(__xludf.DUMMYFUNCTION("""COMPUTED_VALUE"""),26.0)</f>
        <v>26</v>
      </c>
      <c r="B27" s="9" t="str">
        <f>IFERROR(__xludf.DUMMYFUNCTION("""COMPUTED_VALUE"""),"SUAREZ HERNANDEZ ANDRES FELIPE")</f>
        <v>SUAREZ HERNANDEZ ANDRES FELIPE</v>
      </c>
      <c r="C27" s="10">
        <f>IFERROR(__xludf.DUMMYFUNCTION("""COMPUTED_VALUE"""),3.0)</f>
        <v>3</v>
      </c>
      <c r="D27" s="10"/>
      <c r="E27" s="10"/>
      <c r="F27" s="10"/>
      <c r="G27" s="17">
        <f>IFERROR(__xludf.DUMMYFUNCTION("""COMPUTED_VALUE"""),3.0)</f>
        <v>3</v>
      </c>
      <c r="H27" s="19"/>
      <c r="I27" s="8">
        <f>IFERROR(__xludf.DUMMYFUNCTION("""COMPUTED_VALUE"""),1.0)</f>
        <v>1</v>
      </c>
      <c r="J27" s="8">
        <f>IFERROR(__xludf.DUMMYFUNCTION("""COMPUTED_VALUE"""),3.0)</f>
        <v>3</v>
      </c>
      <c r="K27" s="8">
        <f>IFERROR(__xludf.DUMMYFUNCTION("""COMPUTED_VALUE"""),5.0)</f>
        <v>5</v>
      </c>
      <c r="L27" s="8">
        <f>IFERROR(__xludf.DUMMYFUNCTION("""COMPUTED_VALUE"""),5.0)</f>
        <v>5</v>
      </c>
      <c r="M27" s="8"/>
      <c r="N27" s="20">
        <f>IFERROR(__xludf.DUMMYFUNCTION("""COMPUTED_VALUE"""),0.75)</f>
        <v>0.75</v>
      </c>
      <c r="O27" s="8">
        <f>IFERROR(__xludf.DUMMYFUNCTION("""COMPUTED_VALUE"""),2263289.0)</f>
        <v>2263289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>
        <f>IFERROR(__xludf.DUMMYFUNCTION("""COMPUTED_VALUE"""),27.0)</f>
        <v>27</v>
      </c>
      <c r="B28" s="9" t="str">
        <f>IFERROR(__xludf.DUMMYFUNCTION("""COMPUTED_VALUE"""),"TORRES PIMIENTO VICTOR MANUEL")</f>
        <v>TORRES PIMIENTO VICTOR MANUEL</v>
      </c>
      <c r="C28" s="10">
        <f>IFERROR(__xludf.DUMMYFUNCTION("""COMPUTED_VALUE"""),5.0)</f>
        <v>5</v>
      </c>
      <c r="D28" s="10"/>
      <c r="E28" s="10"/>
      <c r="F28" s="10"/>
      <c r="G28" s="17">
        <f>IFERROR(__xludf.DUMMYFUNCTION("""COMPUTED_VALUE"""),4.0)</f>
        <v>4</v>
      </c>
      <c r="H28" s="19"/>
      <c r="I28" s="8">
        <f>IFERROR(__xludf.DUMMYFUNCTION("""COMPUTED_VALUE"""),2.0)</f>
        <v>2</v>
      </c>
      <c r="J28" s="8">
        <f>IFERROR(__xludf.DUMMYFUNCTION("""COMPUTED_VALUE"""),5.0)</f>
        <v>5</v>
      </c>
      <c r="K28" s="8">
        <f>IFERROR(__xludf.DUMMYFUNCTION("""COMPUTED_VALUE"""),5.0)</f>
        <v>5</v>
      </c>
      <c r="L28" s="8">
        <f>IFERROR(__xludf.DUMMYFUNCTION("""COMPUTED_VALUE"""),5.0)</f>
        <v>5</v>
      </c>
      <c r="M28" s="8"/>
      <c r="N28" s="20">
        <f>IFERROR(__xludf.DUMMYFUNCTION("""COMPUTED_VALUE"""),1.15)</f>
        <v>1.15</v>
      </c>
      <c r="O28" s="8">
        <f>IFERROR(__xludf.DUMMYFUNCTION("""COMPUTED_VALUE"""),2263073.0)</f>
        <v>2263073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>
        <f>IFERROR(__xludf.DUMMYFUNCTION("""COMPUTED_VALUE"""),28.0)</f>
        <v>28</v>
      </c>
      <c r="B29" s="9" t="str">
        <f>IFERROR(__xludf.DUMMYFUNCTION("""COMPUTED_VALUE"""),"URIBE CAMPOS DAVID SANTIAGO")</f>
        <v>URIBE CAMPOS DAVID SANTIAGO</v>
      </c>
      <c r="C29" s="10">
        <f>IFERROR(__xludf.DUMMYFUNCTION("""COMPUTED_VALUE"""),4.2)</f>
        <v>4.2</v>
      </c>
      <c r="D29" s="10"/>
      <c r="E29" s="10"/>
      <c r="F29" s="10"/>
      <c r="G29" s="17">
        <f>IFERROR(__xludf.DUMMYFUNCTION("""COMPUTED_VALUE"""),2.9)</f>
        <v>2.9</v>
      </c>
      <c r="H29" s="19"/>
      <c r="I29" s="8">
        <f>IFERROR(__xludf.DUMMYFUNCTION("""COMPUTED_VALUE"""),3.8)</f>
        <v>3.8</v>
      </c>
      <c r="J29" s="8">
        <f>IFERROR(__xludf.DUMMYFUNCTION("""COMPUTED_VALUE"""),0.0)</f>
        <v>0</v>
      </c>
      <c r="K29" s="8">
        <f>IFERROR(__xludf.DUMMYFUNCTION("""COMPUTED_VALUE"""),5.0)</f>
        <v>5</v>
      </c>
      <c r="L29" s="8">
        <f>IFERROR(__xludf.DUMMYFUNCTION("""COMPUTED_VALUE"""),5.0)</f>
        <v>5</v>
      </c>
      <c r="M29" s="8"/>
      <c r="N29" s="20">
        <f>IFERROR(__xludf.DUMMYFUNCTION("""COMPUTED_VALUE"""),0.9199999999999999)</f>
        <v>0.92</v>
      </c>
      <c r="O29" s="8">
        <f>IFERROR(__xludf.DUMMYFUNCTION("""COMPUTED_VALUE"""),2262868.0)</f>
        <v>2262868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9">
        <f>IFERROR(__xludf.DUMMYFUNCTION("""COMPUTED_VALUE"""),29.0)</f>
        <v>29</v>
      </c>
      <c r="B30" s="9" t="str">
        <f>IFERROR(__xludf.DUMMYFUNCTION("""COMPUTED_VALUE"""),"VARGAS DURAN BRAYAN ANTONIO")</f>
        <v>VARGAS DURAN BRAYAN ANTONIO</v>
      </c>
      <c r="C30" s="10">
        <f>IFERROR(__xludf.DUMMYFUNCTION("""COMPUTED_VALUE"""),3.0)</f>
        <v>3</v>
      </c>
      <c r="D30" s="10"/>
      <c r="E30" s="10"/>
      <c r="F30" s="10"/>
      <c r="G30" s="17">
        <f>IFERROR(__xludf.DUMMYFUNCTION("""COMPUTED_VALUE"""),4.2)</f>
        <v>4.2</v>
      </c>
      <c r="H30" s="19"/>
      <c r="I30" s="8">
        <f>IFERROR(__xludf.DUMMYFUNCTION("""COMPUTED_VALUE"""),3.8)</f>
        <v>3.8</v>
      </c>
      <c r="J30" s="8">
        <f>IFERROR(__xludf.DUMMYFUNCTION("""COMPUTED_VALUE"""),3.8)</f>
        <v>3.8</v>
      </c>
      <c r="K30" s="8">
        <f>IFERROR(__xludf.DUMMYFUNCTION("""COMPUTED_VALUE"""),5.0)</f>
        <v>5</v>
      </c>
      <c r="L30" s="8">
        <f>IFERROR(__xludf.DUMMYFUNCTION("""COMPUTED_VALUE"""),5.0)</f>
        <v>5</v>
      </c>
      <c r="M30" s="8"/>
      <c r="N30" s="20">
        <f>IFERROR(__xludf.DUMMYFUNCTION("""COMPUTED_VALUE"""),0.87)</f>
        <v>0.87</v>
      </c>
      <c r="O30" s="9">
        <f>IFERROR(__xludf.DUMMYFUNCTION("""COMPUTED_VALUE"""),2243227.0)</f>
        <v>2243227</v>
      </c>
    </row>
    <row r="31">
      <c r="I31" s="8"/>
      <c r="K31" s="8"/>
    </row>
    <row r="32">
      <c r="I32" s="8"/>
      <c r="K32" s="8"/>
    </row>
    <row r="33">
      <c r="I33" s="8"/>
      <c r="K33" s="8"/>
    </row>
    <row r="34">
      <c r="I34" s="8"/>
      <c r="K34" s="8"/>
    </row>
    <row r="35">
      <c r="I35" s="8"/>
      <c r="K35" s="8"/>
    </row>
    <row r="36">
      <c r="I36" s="8"/>
      <c r="K36" s="8"/>
    </row>
    <row r="37">
      <c r="I37" s="8"/>
      <c r="K37" s="8"/>
    </row>
    <row r="38">
      <c r="I38" s="8"/>
      <c r="K38" s="8"/>
    </row>
    <row r="39">
      <c r="I39" s="8"/>
      <c r="K39" s="8"/>
    </row>
    <row r="40">
      <c r="I40" s="8"/>
      <c r="K40" s="8"/>
    </row>
    <row r="41">
      <c r="I41" s="8"/>
      <c r="K41" s="8"/>
    </row>
    <row r="42">
      <c r="I42" s="8"/>
      <c r="K42" s="8"/>
    </row>
    <row r="43">
      <c r="I43" s="8"/>
      <c r="K43" s="8"/>
    </row>
    <row r="44">
      <c r="I44" s="8"/>
      <c r="K44" s="8"/>
    </row>
    <row r="45">
      <c r="I45" s="8"/>
      <c r="K45" s="8"/>
    </row>
    <row r="46">
      <c r="I46" s="8"/>
      <c r="K46" s="8"/>
    </row>
    <row r="47">
      <c r="I47" s="8"/>
      <c r="K47" s="8"/>
    </row>
    <row r="48">
      <c r="I48" s="8"/>
      <c r="K48" s="8"/>
    </row>
    <row r="49">
      <c r="I49" s="8"/>
      <c r="K49" s="8"/>
    </row>
    <row r="50">
      <c r="I50" s="8"/>
      <c r="K50" s="8"/>
    </row>
    <row r="51">
      <c r="I51" s="8"/>
      <c r="K51" s="8"/>
    </row>
    <row r="52">
      <c r="I52" s="8"/>
      <c r="K52" s="8"/>
    </row>
    <row r="53">
      <c r="I53" s="8"/>
      <c r="K53" s="8"/>
    </row>
    <row r="54">
      <c r="I54" s="8"/>
      <c r="K54" s="8"/>
    </row>
    <row r="55">
      <c r="I55" s="8"/>
      <c r="K55" s="8"/>
    </row>
    <row r="56">
      <c r="I56" s="8"/>
      <c r="K56" s="8"/>
    </row>
    <row r="57">
      <c r="I57" s="8"/>
      <c r="K57" s="8"/>
    </row>
    <row r="58">
      <c r="I58" s="8"/>
      <c r="K58" s="8"/>
    </row>
    <row r="59">
      <c r="I59" s="8"/>
      <c r="K59" s="8"/>
    </row>
    <row r="60">
      <c r="I60" s="8"/>
      <c r="K60" s="8"/>
    </row>
    <row r="61">
      <c r="I61" s="8"/>
      <c r="K61" s="8"/>
    </row>
    <row r="62">
      <c r="I62" s="8"/>
      <c r="K62" s="8"/>
    </row>
    <row r="63">
      <c r="I63" s="8"/>
      <c r="K63" s="8"/>
    </row>
    <row r="64">
      <c r="I64" s="8"/>
      <c r="K64" s="8"/>
    </row>
    <row r="65">
      <c r="I65" s="8"/>
      <c r="K65" s="8"/>
    </row>
    <row r="66">
      <c r="I66" s="8"/>
      <c r="K66" s="8"/>
    </row>
    <row r="67">
      <c r="I67" s="8"/>
      <c r="K67" s="8"/>
    </row>
    <row r="68">
      <c r="I68" s="8"/>
      <c r="K68" s="8"/>
    </row>
    <row r="69">
      <c r="I69" s="8"/>
      <c r="K69" s="8"/>
    </row>
    <row r="70">
      <c r="I70" s="8"/>
      <c r="K70" s="8"/>
    </row>
    <row r="71">
      <c r="I71" s="8"/>
      <c r="K71" s="8"/>
    </row>
    <row r="72">
      <c r="I72" s="8"/>
      <c r="K72" s="8"/>
    </row>
    <row r="73">
      <c r="I73" s="8"/>
      <c r="K73" s="8"/>
    </row>
    <row r="74">
      <c r="I74" s="8"/>
      <c r="K74" s="8"/>
    </row>
    <row r="75">
      <c r="I75" s="8"/>
      <c r="K75" s="8"/>
    </row>
    <row r="76">
      <c r="I76" s="8"/>
      <c r="K76" s="8"/>
    </row>
    <row r="77">
      <c r="I77" s="8"/>
      <c r="K77" s="8"/>
    </row>
    <row r="78">
      <c r="I78" s="8"/>
      <c r="K78" s="8"/>
    </row>
    <row r="79">
      <c r="I79" s="8"/>
      <c r="K79" s="8"/>
    </row>
    <row r="80">
      <c r="I80" s="8"/>
      <c r="K80" s="8"/>
    </row>
    <row r="81">
      <c r="I81" s="8"/>
      <c r="K81" s="8"/>
    </row>
    <row r="82">
      <c r="I82" s="8"/>
      <c r="K82" s="8"/>
    </row>
    <row r="83">
      <c r="I83" s="8"/>
      <c r="K83" s="8"/>
    </row>
    <row r="84">
      <c r="I84" s="8"/>
      <c r="K84" s="8"/>
    </row>
    <row r="85">
      <c r="I85" s="8"/>
      <c r="K85" s="8"/>
    </row>
    <row r="86">
      <c r="I86" s="8"/>
      <c r="K86" s="8"/>
    </row>
    <row r="87">
      <c r="I87" s="8"/>
      <c r="K87" s="8"/>
    </row>
    <row r="88">
      <c r="I88" s="8"/>
      <c r="K88" s="8"/>
    </row>
    <row r="89">
      <c r="I89" s="8"/>
      <c r="K89" s="8"/>
    </row>
    <row r="90">
      <c r="I90" s="8"/>
      <c r="K90" s="8"/>
    </row>
    <row r="91">
      <c r="I91" s="8"/>
      <c r="K91" s="8"/>
    </row>
    <row r="92">
      <c r="I92" s="8"/>
      <c r="K92" s="8"/>
    </row>
    <row r="93">
      <c r="I93" s="8"/>
      <c r="K93" s="8"/>
    </row>
    <row r="94">
      <c r="I94" s="8"/>
      <c r="K94" s="8"/>
    </row>
    <row r="95">
      <c r="I95" s="8"/>
      <c r="K95" s="8"/>
    </row>
    <row r="96">
      <c r="I96" s="8"/>
      <c r="K96" s="8"/>
    </row>
    <row r="97">
      <c r="I97" s="8"/>
      <c r="K97" s="8"/>
    </row>
    <row r="98">
      <c r="I98" s="8"/>
      <c r="K98" s="8"/>
    </row>
    <row r="99">
      <c r="I99" s="8"/>
      <c r="K99" s="8"/>
    </row>
    <row r="100">
      <c r="I100" s="8"/>
      <c r="K100" s="8"/>
    </row>
    <row r="101">
      <c r="I101" s="8"/>
      <c r="K101" s="8"/>
    </row>
    <row r="102">
      <c r="I102" s="8"/>
      <c r="K102" s="8"/>
    </row>
    <row r="103">
      <c r="I103" s="8"/>
      <c r="K103" s="8"/>
    </row>
    <row r="104">
      <c r="I104" s="8"/>
      <c r="K104" s="8"/>
    </row>
    <row r="105">
      <c r="I105" s="8"/>
      <c r="K105" s="8"/>
    </row>
    <row r="106">
      <c r="I106" s="8"/>
      <c r="K106" s="8"/>
    </row>
    <row r="107">
      <c r="I107" s="8"/>
      <c r="K107" s="8"/>
    </row>
    <row r="108">
      <c r="I108" s="8"/>
      <c r="K108" s="8"/>
    </row>
    <row r="109">
      <c r="I109" s="8"/>
      <c r="K109" s="8"/>
    </row>
    <row r="110">
      <c r="I110" s="8"/>
      <c r="K110" s="8"/>
    </row>
    <row r="111">
      <c r="I111" s="8"/>
      <c r="K111" s="8"/>
    </row>
    <row r="112">
      <c r="I112" s="8"/>
      <c r="K112" s="8"/>
    </row>
    <row r="113">
      <c r="I113" s="8"/>
      <c r="K113" s="8"/>
    </row>
    <row r="114">
      <c r="I114" s="8"/>
      <c r="K114" s="8"/>
    </row>
    <row r="115">
      <c r="I115" s="8"/>
      <c r="K115" s="8"/>
    </row>
    <row r="116">
      <c r="I116" s="8"/>
      <c r="K116" s="8"/>
    </row>
    <row r="117">
      <c r="I117" s="8"/>
      <c r="K117" s="8"/>
    </row>
    <row r="118">
      <c r="I118" s="8"/>
      <c r="K118" s="8"/>
    </row>
    <row r="119">
      <c r="I119" s="8"/>
      <c r="K119" s="8"/>
    </row>
    <row r="120">
      <c r="I120" s="8"/>
      <c r="K120" s="8"/>
    </row>
    <row r="121">
      <c r="I121" s="8"/>
      <c r="K121" s="8"/>
    </row>
    <row r="122">
      <c r="I122" s="8"/>
      <c r="K122" s="8"/>
    </row>
    <row r="123">
      <c r="I123" s="8"/>
      <c r="K123" s="8"/>
    </row>
    <row r="124">
      <c r="I124" s="8"/>
      <c r="K124" s="8"/>
    </row>
    <row r="125">
      <c r="I125" s="8"/>
      <c r="K125" s="8"/>
    </row>
    <row r="126">
      <c r="I126" s="8"/>
      <c r="K126" s="8"/>
    </row>
    <row r="127">
      <c r="I127" s="8"/>
      <c r="K127" s="8"/>
    </row>
    <row r="128">
      <c r="I128" s="8"/>
      <c r="K128" s="8"/>
    </row>
    <row r="129">
      <c r="I129" s="8"/>
      <c r="K129" s="8"/>
    </row>
    <row r="130">
      <c r="I130" s="8"/>
      <c r="K130" s="8"/>
    </row>
    <row r="131">
      <c r="I131" s="8"/>
      <c r="K131" s="8"/>
    </row>
    <row r="132">
      <c r="I132" s="8"/>
      <c r="K132" s="8"/>
    </row>
    <row r="133">
      <c r="I133" s="8"/>
      <c r="K133" s="8"/>
    </row>
    <row r="134">
      <c r="I134" s="8"/>
      <c r="K134" s="8"/>
    </row>
    <row r="135">
      <c r="I135" s="8"/>
      <c r="K135" s="8"/>
    </row>
    <row r="136">
      <c r="I136" s="8"/>
      <c r="K136" s="8"/>
    </row>
    <row r="137">
      <c r="I137" s="8"/>
      <c r="K137" s="8"/>
    </row>
    <row r="138">
      <c r="I138" s="8"/>
      <c r="K138" s="8"/>
    </row>
    <row r="139">
      <c r="I139" s="8"/>
      <c r="K139" s="8"/>
    </row>
    <row r="140">
      <c r="I140" s="8"/>
      <c r="K140" s="8"/>
    </row>
    <row r="141">
      <c r="I141" s="8"/>
      <c r="K141" s="8"/>
    </row>
    <row r="142">
      <c r="I142" s="8"/>
      <c r="K142" s="8"/>
    </row>
    <row r="143">
      <c r="I143" s="8"/>
      <c r="K143" s="8"/>
    </row>
    <row r="144">
      <c r="I144" s="8"/>
      <c r="K144" s="8"/>
    </row>
    <row r="145">
      <c r="I145" s="8"/>
      <c r="K145" s="8"/>
    </row>
    <row r="146">
      <c r="I146" s="8"/>
      <c r="K146" s="8"/>
    </row>
    <row r="147">
      <c r="I147" s="8"/>
      <c r="K147" s="8"/>
    </row>
    <row r="148">
      <c r="I148" s="8"/>
      <c r="K148" s="8"/>
    </row>
    <row r="149">
      <c r="I149" s="8"/>
      <c r="K149" s="8"/>
    </row>
    <row r="150">
      <c r="I150" s="8"/>
      <c r="K150" s="8"/>
    </row>
    <row r="151">
      <c r="I151" s="8"/>
      <c r="K151" s="8"/>
    </row>
    <row r="152">
      <c r="I152" s="8"/>
      <c r="K152" s="8"/>
    </row>
    <row r="153">
      <c r="I153" s="8"/>
      <c r="K153" s="8"/>
    </row>
    <row r="154">
      <c r="I154" s="8"/>
      <c r="K154" s="8"/>
    </row>
    <row r="155">
      <c r="I155" s="8"/>
      <c r="K155" s="8"/>
    </row>
    <row r="156">
      <c r="I156" s="8"/>
      <c r="K156" s="8"/>
    </row>
    <row r="157">
      <c r="I157" s="8"/>
      <c r="K157" s="8"/>
    </row>
    <row r="158">
      <c r="I158" s="8"/>
      <c r="K158" s="8"/>
    </row>
    <row r="159">
      <c r="I159" s="8"/>
      <c r="K159" s="8"/>
    </row>
    <row r="160">
      <c r="I160" s="8"/>
      <c r="K160" s="8"/>
    </row>
    <row r="161">
      <c r="I161" s="8"/>
      <c r="K161" s="8"/>
    </row>
    <row r="162">
      <c r="I162" s="8"/>
      <c r="K162" s="8"/>
    </row>
    <row r="163">
      <c r="I163" s="8"/>
      <c r="K163" s="8"/>
    </row>
    <row r="164">
      <c r="I164" s="8"/>
      <c r="K164" s="8"/>
    </row>
    <row r="165">
      <c r="I165" s="8"/>
      <c r="K165" s="8"/>
    </row>
    <row r="166">
      <c r="I166" s="8"/>
      <c r="K166" s="8"/>
    </row>
    <row r="167">
      <c r="I167" s="8"/>
      <c r="K167" s="8"/>
    </row>
    <row r="168">
      <c r="I168" s="8"/>
      <c r="K168" s="8"/>
    </row>
    <row r="169">
      <c r="I169" s="8"/>
      <c r="K169" s="8"/>
    </row>
    <row r="170">
      <c r="I170" s="8"/>
      <c r="K170" s="8"/>
    </row>
    <row r="171">
      <c r="I171" s="8"/>
      <c r="K171" s="8"/>
    </row>
    <row r="172">
      <c r="I172" s="8"/>
      <c r="K172" s="8"/>
    </row>
    <row r="173">
      <c r="I173" s="8"/>
      <c r="K173" s="8"/>
    </row>
    <row r="174">
      <c r="I174" s="8"/>
      <c r="K174" s="8"/>
    </row>
    <row r="175">
      <c r="I175" s="8"/>
      <c r="K175" s="8"/>
    </row>
    <row r="176">
      <c r="I176" s="8"/>
      <c r="K176" s="8"/>
    </row>
    <row r="177">
      <c r="I177" s="8"/>
      <c r="K177" s="8"/>
    </row>
    <row r="178">
      <c r="I178" s="8"/>
      <c r="K178" s="8"/>
    </row>
    <row r="179">
      <c r="I179" s="8"/>
      <c r="K179" s="8"/>
    </row>
    <row r="180">
      <c r="I180" s="8"/>
      <c r="K180" s="8"/>
    </row>
    <row r="181">
      <c r="I181" s="8"/>
      <c r="K181" s="8"/>
    </row>
    <row r="182">
      <c r="I182" s="8"/>
      <c r="K182" s="8"/>
    </row>
    <row r="183">
      <c r="I183" s="8"/>
      <c r="K183" s="8"/>
    </row>
    <row r="184">
      <c r="I184" s="8"/>
      <c r="K184" s="8"/>
    </row>
    <row r="185">
      <c r="I185" s="8"/>
      <c r="K185" s="8"/>
    </row>
    <row r="186">
      <c r="I186" s="8"/>
      <c r="K186" s="8"/>
    </row>
    <row r="187">
      <c r="I187" s="8"/>
      <c r="K187" s="8"/>
    </row>
    <row r="188">
      <c r="I188" s="8"/>
      <c r="K188" s="8"/>
    </row>
    <row r="189">
      <c r="I189" s="8"/>
      <c r="K189" s="8"/>
    </row>
    <row r="190">
      <c r="I190" s="8"/>
      <c r="K190" s="8"/>
    </row>
    <row r="191">
      <c r="I191" s="8"/>
      <c r="K191" s="8"/>
    </row>
    <row r="192">
      <c r="I192" s="8"/>
      <c r="K192" s="8"/>
    </row>
    <row r="193">
      <c r="I193" s="8"/>
      <c r="K193" s="8"/>
    </row>
    <row r="194">
      <c r="I194" s="8"/>
      <c r="K194" s="8"/>
    </row>
    <row r="195">
      <c r="I195" s="8"/>
      <c r="K195" s="8"/>
    </row>
    <row r="196">
      <c r="I196" s="8"/>
      <c r="K196" s="8"/>
    </row>
    <row r="197">
      <c r="I197" s="8"/>
      <c r="K197" s="8"/>
    </row>
    <row r="198">
      <c r="I198" s="8"/>
      <c r="K198" s="8"/>
    </row>
    <row r="199">
      <c r="I199" s="8"/>
      <c r="K199" s="8"/>
    </row>
    <row r="200">
      <c r="I200" s="8"/>
      <c r="K200" s="8"/>
    </row>
    <row r="201">
      <c r="I201" s="8"/>
      <c r="K201" s="8"/>
    </row>
    <row r="202">
      <c r="I202" s="8"/>
      <c r="K202" s="8"/>
    </row>
    <row r="203">
      <c r="I203" s="8"/>
      <c r="K203" s="8"/>
    </row>
    <row r="204">
      <c r="I204" s="8"/>
      <c r="K204" s="8"/>
    </row>
    <row r="205">
      <c r="I205" s="8"/>
      <c r="K205" s="8"/>
    </row>
    <row r="206">
      <c r="I206" s="8"/>
      <c r="K206" s="8"/>
    </row>
    <row r="207">
      <c r="I207" s="8"/>
      <c r="K207" s="8"/>
    </row>
    <row r="208">
      <c r="I208" s="8"/>
      <c r="K208" s="8"/>
    </row>
    <row r="209">
      <c r="I209" s="8"/>
      <c r="K209" s="8"/>
    </row>
    <row r="210">
      <c r="I210" s="8"/>
      <c r="K210" s="8"/>
    </row>
    <row r="211">
      <c r="I211" s="8"/>
      <c r="K211" s="8"/>
    </row>
    <row r="212">
      <c r="I212" s="8"/>
      <c r="K212" s="8"/>
    </row>
    <row r="213">
      <c r="I213" s="8"/>
      <c r="K213" s="8"/>
    </row>
    <row r="214">
      <c r="I214" s="8"/>
      <c r="K214" s="8"/>
    </row>
    <row r="215">
      <c r="I215" s="8"/>
      <c r="K215" s="8"/>
    </row>
    <row r="216">
      <c r="I216" s="8"/>
      <c r="K216" s="8"/>
    </row>
    <row r="217">
      <c r="I217" s="8"/>
      <c r="K217" s="8"/>
    </row>
    <row r="218">
      <c r="I218" s="8"/>
      <c r="K218" s="8"/>
    </row>
    <row r="219">
      <c r="I219" s="8"/>
      <c r="K219" s="8"/>
    </row>
    <row r="220">
      <c r="I220" s="8"/>
      <c r="K220" s="8"/>
    </row>
    <row r="221">
      <c r="I221" s="8"/>
      <c r="K221" s="8"/>
    </row>
    <row r="222">
      <c r="I222" s="8"/>
      <c r="K222" s="8"/>
    </row>
    <row r="223">
      <c r="I223" s="8"/>
      <c r="K223" s="8"/>
    </row>
    <row r="224">
      <c r="I224" s="8"/>
      <c r="K224" s="8"/>
    </row>
    <row r="225">
      <c r="I225" s="8"/>
      <c r="K225" s="8"/>
    </row>
    <row r="226">
      <c r="I226" s="8"/>
      <c r="K226" s="8"/>
    </row>
    <row r="227">
      <c r="I227" s="8"/>
      <c r="K227" s="8"/>
    </row>
    <row r="228">
      <c r="I228" s="8"/>
      <c r="K228" s="8"/>
    </row>
    <row r="229">
      <c r="I229" s="8"/>
      <c r="K229" s="8"/>
    </row>
    <row r="230">
      <c r="I230" s="8"/>
      <c r="K230" s="8"/>
    </row>
    <row r="231">
      <c r="I231" s="8"/>
      <c r="K231" s="8"/>
    </row>
    <row r="232">
      <c r="I232" s="8"/>
      <c r="K232" s="8"/>
    </row>
    <row r="233">
      <c r="I233" s="8"/>
      <c r="K233" s="8"/>
    </row>
    <row r="234">
      <c r="I234" s="8"/>
      <c r="K234" s="8"/>
    </row>
    <row r="235">
      <c r="I235" s="8"/>
      <c r="K235" s="8"/>
    </row>
    <row r="236">
      <c r="I236" s="8"/>
      <c r="K236" s="8"/>
    </row>
    <row r="237">
      <c r="I237" s="8"/>
      <c r="K237" s="8"/>
    </row>
    <row r="238">
      <c r="I238" s="8"/>
      <c r="K238" s="8"/>
    </row>
    <row r="239">
      <c r="I239" s="8"/>
      <c r="K239" s="8"/>
    </row>
    <row r="240">
      <c r="I240" s="8"/>
      <c r="K240" s="8"/>
    </row>
    <row r="241">
      <c r="I241" s="8"/>
      <c r="K241" s="8"/>
    </row>
    <row r="242">
      <c r="I242" s="8"/>
      <c r="K242" s="8"/>
    </row>
    <row r="243">
      <c r="I243" s="8"/>
      <c r="K243" s="8"/>
    </row>
    <row r="244">
      <c r="I244" s="8"/>
      <c r="K244" s="8"/>
    </row>
    <row r="245">
      <c r="I245" s="8"/>
      <c r="K245" s="8"/>
    </row>
    <row r="246">
      <c r="I246" s="8"/>
      <c r="K246" s="8"/>
    </row>
    <row r="247">
      <c r="I247" s="8"/>
      <c r="K247" s="8"/>
    </row>
    <row r="248">
      <c r="I248" s="8"/>
      <c r="K248" s="8"/>
    </row>
    <row r="249">
      <c r="I249" s="8"/>
      <c r="K249" s="8"/>
    </row>
    <row r="250">
      <c r="I250" s="8"/>
      <c r="K250" s="8"/>
    </row>
    <row r="251">
      <c r="I251" s="8"/>
      <c r="K251" s="8"/>
    </row>
    <row r="252">
      <c r="I252" s="8"/>
      <c r="K252" s="8"/>
    </row>
    <row r="253">
      <c r="I253" s="8"/>
      <c r="K253" s="8"/>
    </row>
    <row r="254">
      <c r="I254" s="8"/>
      <c r="K254" s="8"/>
    </row>
    <row r="255">
      <c r="I255" s="8"/>
      <c r="K255" s="8"/>
    </row>
    <row r="256">
      <c r="I256" s="8"/>
      <c r="K256" s="8"/>
    </row>
    <row r="257">
      <c r="I257" s="8"/>
      <c r="K257" s="8"/>
    </row>
    <row r="258">
      <c r="I258" s="8"/>
      <c r="K258" s="8"/>
    </row>
    <row r="259">
      <c r="I259" s="8"/>
      <c r="K259" s="8"/>
    </row>
    <row r="260">
      <c r="I260" s="8"/>
      <c r="K260" s="8"/>
    </row>
    <row r="261">
      <c r="I261" s="8"/>
      <c r="K261" s="8"/>
    </row>
    <row r="262">
      <c r="I262" s="8"/>
      <c r="K262" s="8"/>
    </row>
    <row r="263">
      <c r="I263" s="8"/>
      <c r="K263" s="8"/>
    </row>
    <row r="264">
      <c r="I264" s="8"/>
      <c r="K264" s="8"/>
    </row>
    <row r="265">
      <c r="I265" s="8"/>
      <c r="K265" s="8"/>
    </row>
    <row r="266">
      <c r="I266" s="8"/>
      <c r="K266" s="8"/>
    </row>
    <row r="267">
      <c r="I267" s="8"/>
      <c r="K267" s="8"/>
    </row>
    <row r="268">
      <c r="I268" s="8"/>
      <c r="K268" s="8"/>
    </row>
    <row r="269">
      <c r="I269" s="8"/>
      <c r="K269" s="8"/>
    </row>
    <row r="270">
      <c r="I270" s="8"/>
      <c r="K270" s="8"/>
    </row>
    <row r="271">
      <c r="I271" s="8"/>
      <c r="K271" s="8"/>
    </row>
    <row r="272">
      <c r="I272" s="8"/>
      <c r="K272" s="8"/>
    </row>
    <row r="273">
      <c r="I273" s="8"/>
      <c r="K273" s="8"/>
    </row>
    <row r="274">
      <c r="I274" s="8"/>
      <c r="K274" s="8"/>
    </row>
    <row r="275">
      <c r="I275" s="8"/>
      <c r="K275" s="8"/>
    </row>
    <row r="276">
      <c r="I276" s="8"/>
      <c r="K276" s="8"/>
    </row>
    <row r="277">
      <c r="I277" s="8"/>
      <c r="K277" s="8"/>
    </row>
    <row r="278">
      <c r="I278" s="8"/>
      <c r="K278" s="8"/>
    </row>
    <row r="279">
      <c r="I279" s="8"/>
      <c r="K279" s="8"/>
    </row>
    <row r="280">
      <c r="I280" s="8"/>
      <c r="K280" s="8"/>
    </row>
    <row r="281">
      <c r="I281" s="8"/>
      <c r="K281" s="8"/>
    </row>
    <row r="282">
      <c r="I282" s="8"/>
      <c r="K282" s="8"/>
    </row>
    <row r="283">
      <c r="I283" s="8"/>
      <c r="K283" s="8"/>
    </row>
    <row r="284">
      <c r="I284" s="8"/>
      <c r="K284" s="8"/>
    </row>
    <row r="285">
      <c r="I285" s="8"/>
      <c r="K285" s="8"/>
    </row>
    <row r="286">
      <c r="I286" s="8"/>
      <c r="K286" s="8"/>
    </row>
    <row r="287">
      <c r="I287" s="8"/>
      <c r="K287" s="8"/>
    </row>
    <row r="288">
      <c r="I288" s="8"/>
      <c r="K288" s="8"/>
    </row>
    <row r="289">
      <c r="I289" s="8"/>
      <c r="K289" s="8"/>
    </row>
    <row r="290">
      <c r="I290" s="8"/>
      <c r="K290" s="8"/>
    </row>
    <row r="291">
      <c r="I291" s="8"/>
      <c r="K291" s="8"/>
    </row>
    <row r="292">
      <c r="I292" s="8"/>
      <c r="K292" s="8"/>
    </row>
    <row r="293">
      <c r="I293" s="8"/>
      <c r="K293" s="8"/>
    </row>
    <row r="294">
      <c r="I294" s="8"/>
      <c r="K294" s="8"/>
    </row>
    <row r="295">
      <c r="I295" s="8"/>
      <c r="K295" s="8"/>
    </row>
    <row r="296">
      <c r="I296" s="8"/>
      <c r="K296" s="8"/>
    </row>
    <row r="297">
      <c r="I297" s="8"/>
      <c r="K297" s="8"/>
    </row>
    <row r="298">
      <c r="I298" s="8"/>
      <c r="K298" s="8"/>
    </row>
    <row r="299">
      <c r="I299" s="8"/>
      <c r="K299" s="8"/>
    </row>
    <row r="300">
      <c r="I300" s="8"/>
      <c r="K300" s="8"/>
    </row>
    <row r="301">
      <c r="I301" s="8"/>
      <c r="K301" s="8"/>
    </row>
    <row r="302">
      <c r="I302" s="8"/>
      <c r="K302" s="8"/>
    </row>
    <row r="303">
      <c r="I303" s="8"/>
      <c r="K303" s="8"/>
    </row>
    <row r="304">
      <c r="I304" s="8"/>
      <c r="K304" s="8"/>
    </row>
    <row r="305">
      <c r="I305" s="8"/>
      <c r="K305" s="8"/>
    </row>
    <row r="306">
      <c r="I306" s="8"/>
      <c r="K306" s="8"/>
    </row>
    <row r="307">
      <c r="I307" s="8"/>
      <c r="K307" s="8"/>
    </row>
    <row r="308">
      <c r="I308" s="8"/>
      <c r="K308" s="8"/>
    </row>
    <row r="309">
      <c r="I309" s="8"/>
      <c r="K309" s="8"/>
    </row>
    <row r="310">
      <c r="I310" s="8"/>
      <c r="K310" s="8"/>
    </row>
    <row r="311">
      <c r="I311" s="8"/>
      <c r="K311" s="8"/>
    </row>
    <row r="312">
      <c r="I312" s="8"/>
      <c r="K312" s="8"/>
    </row>
    <row r="313">
      <c r="I313" s="8"/>
      <c r="K313" s="8"/>
    </row>
    <row r="314">
      <c r="I314" s="8"/>
      <c r="K314" s="8"/>
    </row>
    <row r="315">
      <c r="I315" s="8"/>
      <c r="K315" s="8"/>
    </row>
    <row r="316">
      <c r="I316" s="8"/>
      <c r="K316" s="8"/>
    </row>
    <row r="317">
      <c r="I317" s="8"/>
      <c r="K317" s="8"/>
    </row>
    <row r="318">
      <c r="I318" s="8"/>
      <c r="K318" s="8"/>
    </row>
    <row r="319">
      <c r="I319" s="8"/>
      <c r="K319" s="8"/>
    </row>
    <row r="320">
      <c r="I320" s="8"/>
      <c r="K320" s="8"/>
    </row>
    <row r="321">
      <c r="I321" s="8"/>
      <c r="K321" s="8"/>
    </row>
    <row r="322">
      <c r="I322" s="8"/>
      <c r="K322" s="8"/>
    </row>
    <row r="323">
      <c r="I323" s="8"/>
      <c r="K323" s="8"/>
    </row>
    <row r="324">
      <c r="I324" s="8"/>
      <c r="K324" s="8"/>
    </row>
    <row r="325">
      <c r="I325" s="8"/>
      <c r="K325" s="8"/>
    </row>
    <row r="326">
      <c r="I326" s="8"/>
      <c r="K326" s="8"/>
    </row>
    <row r="327">
      <c r="I327" s="8"/>
      <c r="K327" s="8"/>
    </row>
    <row r="328">
      <c r="I328" s="8"/>
      <c r="K328" s="8"/>
    </row>
    <row r="329">
      <c r="I329" s="8"/>
      <c r="K329" s="8"/>
    </row>
    <row r="330">
      <c r="I330" s="8"/>
      <c r="K330" s="8"/>
    </row>
    <row r="331">
      <c r="I331" s="8"/>
      <c r="K331" s="8"/>
    </row>
    <row r="332">
      <c r="I332" s="8"/>
      <c r="K332" s="8"/>
    </row>
    <row r="333">
      <c r="I333" s="8"/>
      <c r="K333" s="8"/>
    </row>
    <row r="334">
      <c r="I334" s="8"/>
      <c r="K334" s="8"/>
    </row>
    <row r="335">
      <c r="I335" s="8"/>
      <c r="K335" s="8"/>
    </row>
    <row r="336">
      <c r="I336" s="8"/>
      <c r="K336" s="8"/>
    </row>
    <row r="337">
      <c r="I337" s="8"/>
      <c r="K337" s="8"/>
    </row>
    <row r="338">
      <c r="I338" s="8"/>
      <c r="K338" s="8"/>
    </row>
    <row r="339">
      <c r="I339" s="8"/>
      <c r="K339" s="8"/>
    </row>
    <row r="340">
      <c r="I340" s="8"/>
      <c r="K340" s="8"/>
    </row>
    <row r="341">
      <c r="I341" s="8"/>
      <c r="K341" s="8"/>
    </row>
    <row r="342">
      <c r="I342" s="8"/>
      <c r="K342" s="8"/>
    </row>
    <row r="343">
      <c r="I343" s="8"/>
      <c r="K343" s="8"/>
    </row>
    <row r="344">
      <c r="I344" s="8"/>
      <c r="K344" s="8"/>
    </row>
    <row r="345">
      <c r="I345" s="8"/>
      <c r="K345" s="8"/>
    </row>
    <row r="346">
      <c r="I346" s="8"/>
      <c r="K346" s="8"/>
    </row>
    <row r="347">
      <c r="I347" s="8"/>
      <c r="K347" s="8"/>
    </row>
    <row r="348">
      <c r="I348" s="8"/>
      <c r="K348" s="8"/>
    </row>
    <row r="349">
      <c r="I349" s="8"/>
      <c r="K349" s="8"/>
    </row>
    <row r="350">
      <c r="I350" s="8"/>
      <c r="K350" s="8"/>
    </row>
    <row r="351">
      <c r="I351" s="8"/>
      <c r="K351" s="8"/>
    </row>
    <row r="352">
      <c r="I352" s="8"/>
      <c r="K352" s="8"/>
    </row>
    <row r="353">
      <c r="I353" s="8"/>
      <c r="K353" s="8"/>
    </row>
    <row r="354">
      <c r="I354" s="8"/>
      <c r="K354" s="8"/>
    </row>
    <row r="355">
      <c r="I355" s="8"/>
      <c r="K355" s="8"/>
    </row>
    <row r="356">
      <c r="I356" s="8"/>
      <c r="K356" s="8"/>
    </row>
    <row r="357">
      <c r="I357" s="8"/>
      <c r="K357" s="8"/>
    </row>
    <row r="358">
      <c r="I358" s="8"/>
      <c r="K358" s="8"/>
    </row>
    <row r="359">
      <c r="I359" s="8"/>
      <c r="K359" s="8"/>
    </row>
    <row r="360">
      <c r="I360" s="8"/>
      <c r="K360" s="8"/>
    </row>
    <row r="361">
      <c r="I361" s="8"/>
      <c r="K361" s="8"/>
    </row>
    <row r="362">
      <c r="I362" s="8"/>
      <c r="K362" s="8"/>
    </row>
    <row r="363">
      <c r="I363" s="8"/>
      <c r="K363" s="8"/>
    </row>
    <row r="364">
      <c r="I364" s="8"/>
      <c r="K364" s="8"/>
    </row>
    <row r="365">
      <c r="I365" s="8"/>
      <c r="K365" s="8"/>
    </row>
    <row r="366">
      <c r="I366" s="8"/>
      <c r="K366" s="8"/>
    </row>
    <row r="367">
      <c r="I367" s="8"/>
      <c r="K367" s="8"/>
    </row>
    <row r="368">
      <c r="I368" s="8"/>
      <c r="K368" s="8"/>
    </row>
    <row r="369">
      <c r="I369" s="8"/>
      <c r="K369" s="8"/>
    </row>
    <row r="370">
      <c r="I370" s="8"/>
      <c r="K370" s="8"/>
    </row>
    <row r="371">
      <c r="I371" s="8"/>
      <c r="K371" s="8"/>
    </row>
    <row r="372">
      <c r="I372" s="8"/>
      <c r="K372" s="8"/>
    </row>
    <row r="373">
      <c r="I373" s="8"/>
      <c r="K373" s="8"/>
    </row>
    <row r="374">
      <c r="I374" s="8"/>
      <c r="K374" s="8"/>
    </row>
    <row r="375">
      <c r="I375" s="8"/>
      <c r="K375" s="8"/>
    </row>
    <row r="376">
      <c r="I376" s="8"/>
      <c r="K376" s="8"/>
    </row>
    <row r="377">
      <c r="I377" s="8"/>
      <c r="K377" s="8"/>
    </row>
    <row r="378">
      <c r="I378" s="8"/>
      <c r="K378" s="8"/>
    </row>
    <row r="379">
      <c r="I379" s="8"/>
      <c r="K379" s="8"/>
    </row>
    <row r="380">
      <c r="I380" s="8"/>
      <c r="K380" s="8"/>
    </row>
    <row r="381">
      <c r="I381" s="8"/>
      <c r="K381" s="8"/>
    </row>
    <row r="382">
      <c r="I382" s="8"/>
      <c r="K382" s="8"/>
    </row>
    <row r="383">
      <c r="I383" s="8"/>
      <c r="K383" s="8"/>
    </row>
    <row r="384">
      <c r="I384" s="8"/>
      <c r="K384" s="8"/>
    </row>
    <row r="385">
      <c r="I385" s="8"/>
      <c r="K385" s="8"/>
    </row>
    <row r="386">
      <c r="I386" s="8"/>
      <c r="K386" s="8"/>
    </row>
    <row r="387">
      <c r="I387" s="8"/>
      <c r="K387" s="8"/>
    </row>
    <row r="388">
      <c r="I388" s="8"/>
      <c r="K388" s="8"/>
    </row>
    <row r="389">
      <c r="I389" s="8"/>
      <c r="K389" s="8"/>
    </row>
    <row r="390">
      <c r="I390" s="8"/>
      <c r="K390" s="8"/>
    </row>
    <row r="391">
      <c r="I391" s="8"/>
      <c r="K391" s="8"/>
    </row>
    <row r="392">
      <c r="I392" s="8"/>
      <c r="K392" s="8"/>
    </row>
    <row r="393">
      <c r="I393" s="8"/>
      <c r="K393" s="8"/>
    </row>
    <row r="394">
      <c r="I394" s="8"/>
      <c r="K394" s="8"/>
    </row>
    <row r="395">
      <c r="I395" s="8"/>
      <c r="K395" s="8"/>
    </row>
    <row r="396">
      <c r="I396" s="8"/>
      <c r="K396" s="8"/>
    </row>
    <row r="397">
      <c r="I397" s="8"/>
      <c r="K397" s="8"/>
    </row>
    <row r="398">
      <c r="I398" s="8"/>
      <c r="K398" s="8"/>
    </row>
    <row r="399">
      <c r="I399" s="8"/>
      <c r="K399" s="8"/>
    </row>
    <row r="400">
      <c r="I400" s="8"/>
      <c r="K400" s="8"/>
    </row>
    <row r="401">
      <c r="I401" s="8"/>
      <c r="K401" s="8"/>
    </row>
    <row r="402">
      <c r="I402" s="8"/>
      <c r="K402" s="8"/>
    </row>
    <row r="403">
      <c r="I403" s="8"/>
      <c r="K403" s="8"/>
    </row>
    <row r="404">
      <c r="I404" s="8"/>
      <c r="K404" s="8"/>
    </row>
    <row r="405">
      <c r="I405" s="8"/>
      <c r="K405" s="8"/>
    </row>
    <row r="406">
      <c r="I406" s="8"/>
      <c r="K406" s="8"/>
    </row>
    <row r="407">
      <c r="I407" s="8"/>
      <c r="K407" s="8"/>
    </row>
    <row r="408">
      <c r="I408" s="8"/>
      <c r="K408" s="8"/>
    </row>
    <row r="409">
      <c r="I409" s="8"/>
      <c r="K409" s="8"/>
    </row>
    <row r="410">
      <c r="I410" s="8"/>
      <c r="K410" s="8"/>
    </row>
    <row r="411">
      <c r="I411" s="8"/>
      <c r="K411" s="8"/>
    </row>
    <row r="412">
      <c r="I412" s="8"/>
      <c r="K412" s="8"/>
    </row>
    <row r="413">
      <c r="I413" s="8"/>
      <c r="K413" s="8"/>
    </row>
    <row r="414">
      <c r="I414" s="8"/>
      <c r="K414" s="8"/>
    </row>
    <row r="415">
      <c r="I415" s="8"/>
      <c r="K415" s="8"/>
    </row>
    <row r="416">
      <c r="I416" s="8"/>
      <c r="K416" s="8"/>
    </row>
    <row r="417">
      <c r="I417" s="8"/>
      <c r="K417" s="8"/>
    </row>
    <row r="418">
      <c r="I418" s="8"/>
      <c r="K418" s="8"/>
    </row>
    <row r="419">
      <c r="I419" s="8"/>
      <c r="K419" s="8"/>
    </row>
    <row r="420">
      <c r="I420" s="8"/>
      <c r="K420" s="8"/>
    </row>
    <row r="421">
      <c r="I421" s="8"/>
      <c r="K421" s="8"/>
    </row>
    <row r="422">
      <c r="I422" s="8"/>
      <c r="K422" s="8"/>
    </row>
    <row r="423">
      <c r="I423" s="8"/>
      <c r="K423" s="8"/>
    </row>
    <row r="424">
      <c r="I424" s="8"/>
      <c r="K424" s="8"/>
    </row>
    <row r="425">
      <c r="I425" s="8"/>
      <c r="K425" s="8"/>
    </row>
    <row r="426">
      <c r="I426" s="8"/>
      <c r="K426" s="8"/>
    </row>
    <row r="427">
      <c r="I427" s="8"/>
      <c r="K427" s="8"/>
    </row>
    <row r="428">
      <c r="I428" s="8"/>
      <c r="K428" s="8"/>
    </row>
    <row r="429">
      <c r="I429" s="8"/>
      <c r="K429" s="8"/>
    </row>
    <row r="430">
      <c r="I430" s="8"/>
      <c r="K430" s="8"/>
    </row>
    <row r="431">
      <c r="I431" s="8"/>
      <c r="K431" s="8"/>
    </row>
    <row r="432">
      <c r="I432" s="8"/>
      <c r="K432" s="8"/>
    </row>
    <row r="433">
      <c r="I433" s="8"/>
      <c r="K433" s="8"/>
    </row>
    <row r="434">
      <c r="I434" s="8"/>
      <c r="K434" s="8"/>
    </row>
    <row r="435">
      <c r="I435" s="8"/>
      <c r="K435" s="8"/>
    </row>
    <row r="436">
      <c r="I436" s="8"/>
      <c r="K436" s="8"/>
    </row>
    <row r="437">
      <c r="I437" s="8"/>
      <c r="K437" s="8"/>
    </row>
    <row r="438">
      <c r="I438" s="8"/>
      <c r="K438" s="8"/>
    </row>
    <row r="439">
      <c r="I439" s="8"/>
      <c r="K439" s="8"/>
    </row>
    <row r="440">
      <c r="I440" s="8"/>
      <c r="K440" s="8"/>
    </row>
    <row r="441">
      <c r="I441" s="8"/>
      <c r="K441" s="8"/>
    </row>
    <row r="442">
      <c r="I442" s="8"/>
      <c r="K442" s="8"/>
    </row>
    <row r="443">
      <c r="I443" s="8"/>
      <c r="K443" s="8"/>
    </row>
    <row r="444">
      <c r="I444" s="8"/>
      <c r="K444" s="8"/>
    </row>
    <row r="445">
      <c r="I445" s="8"/>
      <c r="K445" s="8"/>
    </row>
    <row r="446">
      <c r="I446" s="8"/>
      <c r="K446" s="8"/>
    </row>
    <row r="447">
      <c r="I447" s="8"/>
      <c r="K447" s="8"/>
    </row>
    <row r="448">
      <c r="I448" s="8"/>
      <c r="K448" s="8"/>
    </row>
    <row r="449">
      <c r="I449" s="8"/>
      <c r="K449" s="8"/>
    </row>
    <row r="450">
      <c r="I450" s="8"/>
      <c r="K450" s="8"/>
    </row>
    <row r="451">
      <c r="I451" s="8"/>
      <c r="K451" s="8"/>
    </row>
    <row r="452">
      <c r="I452" s="8"/>
      <c r="K452" s="8"/>
    </row>
    <row r="453">
      <c r="I453" s="8"/>
      <c r="K453" s="8"/>
    </row>
    <row r="454">
      <c r="I454" s="8"/>
      <c r="K454" s="8"/>
    </row>
    <row r="455">
      <c r="I455" s="8"/>
      <c r="K455" s="8"/>
    </row>
    <row r="456">
      <c r="I456" s="8"/>
      <c r="K456" s="8"/>
    </row>
    <row r="457">
      <c r="I457" s="8"/>
      <c r="K457" s="8"/>
    </row>
    <row r="458">
      <c r="I458" s="8"/>
      <c r="K458" s="8"/>
    </row>
    <row r="459">
      <c r="I459" s="8"/>
      <c r="K459" s="8"/>
    </row>
    <row r="460">
      <c r="I460" s="8"/>
      <c r="K460" s="8"/>
    </row>
    <row r="461">
      <c r="I461" s="8"/>
      <c r="K461" s="8"/>
    </row>
    <row r="462">
      <c r="I462" s="8"/>
      <c r="K462" s="8"/>
    </row>
    <row r="463">
      <c r="I463" s="8"/>
      <c r="K463" s="8"/>
    </row>
    <row r="464">
      <c r="I464" s="8"/>
      <c r="K464" s="8"/>
    </row>
    <row r="465">
      <c r="I465" s="8"/>
      <c r="K465" s="8"/>
    </row>
    <row r="466">
      <c r="I466" s="8"/>
      <c r="K466" s="8"/>
    </row>
    <row r="467">
      <c r="I467" s="8"/>
      <c r="K467" s="8"/>
    </row>
    <row r="468">
      <c r="I468" s="8"/>
      <c r="K468" s="8"/>
    </row>
    <row r="469">
      <c r="I469" s="8"/>
      <c r="K469" s="8"/>
    </row>
    <row r="470">
      <c r="I470" s="8"/>
      <c r="K470" s="8"/>
    </row>
    <row r="471">
      <c r="I471" s="8"/>
      <c r="K471" s="8"/>
    </row>
    <row r="472">
      <c r="I472" s="8"/>
      <c r="K472" s="8"/>
    </row>
    <row r="473">
      <c r="I473" s="8"/>
      <c r="K473" s="8"/>
    </row>
    <row r="474">
      <c r="I474" s="8"/>
      <c r="K474" s="8"/>
    </row>
    <row r="475">
      <c r="I475" s="8"/>
      <c r="K475" s="8"/>
    </row>
    <row r="476">
      <c r="I476" s="8"/>
      <c r="K476" s="8"/>
    </row>
    <row r="477">
      <c r="I477" s="8"/>
      <c r="K477" s="8"/>
    </row>
    <row r="478">
      <c r="I478" s="8"/>
      <c r="K478" s="8"/>
    </row>
    <row r="479">
      <c r="I479" s="8"/>
      <c r="K479" s="8"/>
    </row>
    <row r="480">
      <c r="I480" s="8"/>
      <c r="K480" s="8"/>
    </row>
    <row r="481">
      <c r="I481" s="8"/>
      <c r="K481" s="8"/>
    </row>
    <row r="482">
      <c r="I482" s="8"/>
      <c r="K482" s="8"/>
    </row>
    <row r="483">
      <c r="I483" s="8"/>
      <c r="K483" s="8"/>
    </row>
    <row r="484">
      <c r="I484" s="8"/>
      <c r="K484" s="8"/>
    </row>
    <row r="485">
      <c r="I485" s="8"/>
      <c r="K485" s="8"/>
    </row>
    <row r="486">
      <c r="I486" s="8"/>
      <c r="K486" s="8"/>
    </row>
    <row r="487">
      <c r="I487" s="8"/>
      <c r="K487" s="8"/>
    </row>
    <row r="488">
      <c r="I488" s="8"/>
      <c r="K488" s="8"/>
    </row>
    <row r="489">
      <c r="I489" s="8"/>
      <c r="K489" s="8"/>
    </row>
    <row r="490">
      <c r="I490" s="8"/>
      <c r="K490" s="8"/>
    </row>
    <row r="491">
      <c r="I491" s="8"/>
      <c r="K491" s="8"/>
    </row>
    <row r="492">
      <c r="I492" s="8"/>
      <c r="K492" s="8"/>
    </row>
    <row r="493">
      <c r="I493" s="8"/>
      <c r="K493" s="8"/>
    </row>
    <row r="494">
      <c r="I494" s="8"/>
      <c r="K494" s="8"/>
    </row>
    <row r="495">
      <c r="I495" s="8"/>
      <c r="K495" s="8"/>
    </row>
    <row r="496">
      <c r="I496" s="8"/>
      <c r="K496" s="8"/>
    </row>
    <row r="497">
      <c r="I497" s="8"/>
      <c r="K497" s="8"/>
    </row>
    <row r="498">
      <c r="I498" s="8"/>
      <c r="K498" s="8"/>
    </row>
    <row r="499">
      <c r="I499" s="8"/>
      <c r="K499" s="8"/>
    </row>
    <row r="500">
      <c r="I500" s="8"/>
      <c r="K500" s="8"/>
    </row>
    <row r="501">
      <c r="I501" s="8"/>
      <c r="K501" s="8"/>
    </row>
    <row r="502">
      <c r="I502" s="8"/>
      <c r="K502" s="8"/>
    </row>
    <row r="503">
      <c r="I503" s="8"/>
      <c r="K503" s="8"/>
    </row>
    <row r="504">
      <c r="I504" s="8"/>
      <c r="K504" s="8"/>
    </row>
    <row r="505">
      <c r="I505" s="8"/>
      <c r="K505" s="8"/>
    </row>
    <row r="506">
      <c r="I506" s="8"/>
      <c r="K506" s="8"/>
    </row>
    <row r="507">
      <c r="I507" s="8"/>
      <c r="K507" s="8"/>
    </row>
    <row r="508">
      <c r="I508" s="8"/>
      <c r="K508" s="8"/>
    </row>
    <row r="509">
      <c r="I509" s="8"/>
      <c r="K509" s="8"/>
    </row>
    <row r="510">
      <c r="I510" s="8"/>
      <c r="K510" s="8"/>
    </row>
    <row r="511">
      <c r="I511" s="8"/>
      <c r="K511" s="8"/>
    </row>
    <row r="512">
      <c r="I512" s="8"/>
      <c r="K512" s="8"/>
    </row>
    <row r="513">
      <c r="I513" s="8"/>
      <c r="K513" s="8"/>
    </row>
    <row r="514">
      <c r="I514" s="8"/>
      <c r="K514" s="8"/>
    </row>
    <row r="515">
      <c r="I515" s="8"/>
      <c r="K515" s="8"/>
    </row>
    <row r="516">
      <c r="I516" s="8"/>
      <c r="K516" s="8"/>
    </row>
    <row r="517">
      <c r="I517" s="8"/>
      <c r="K517" s="8"/>
    </row>
    <row r="518">
      <c r="I518" s="8"/>
      <c r="K518" s="8"/>
    </row>
    <row r="519">
      <c r="I519" s="8"/>
      <c r="K519" s="8"/>
    </row>
    <row r="520">
      <c r="I520" s="8"/>
      <c r="K520" s="8"/>
    </row>
    <row r="521">
      <c r="I521" s="8"/>
      <c r="K521" s="8"/>
    </row>
    <row r="522">
      <c r="I522" s="8"/>
      <c r="K522" s="8"/>
    </row>
    <row r="523">
      <c r="I523" s="8"/>
      <c r="K523" s="8"/>
    </row>
    <row r="524">
      <c r="I524" s="8"/>
      <c r="K524" s="8"/>
    </row>
    <row r="525">
      <c r="I525" s="8"/>
      <c r="K525" s="8"/>
    </row>
    <row r="526">
      <c r="I526" s="8"/>
      <c r="K526" s="8"/>
    </row>
    <row r="527">
      <c r="I527" s="8"/>
      <c r="K527" s="8"/>
    </row>
    <row r="528">
      <c r="I528" s="8"/>
      <c r="K528" s="8"/>
    </row>
    <row r="529">
      <c r="I529" s="8"/>
      <c r="K529" s="8"/>
    </row>
    <row r="530">
      <c r="I530" s="8"/>
      <c r="K530" s="8"/>
    </row>
    <row r="531">
      <c r="I531" s="8"/>
      <c r="K531" s="8"/>
    </row>
    <row r="532">
      <c r="I532" s="8"/>
      <c r="K532" s="8"/>
    </row>
    <row r="533">
      <c r="I533" s="8"/>
      <c r="K533" s="8"/>
    </row>
    <row r="534">
      <c r="I534" s="8"/>
      <c r="K534" s="8"/>
    </row>
    <row r="535">
      <c r="I535" s="8"/>
      <c r="K535" s="8"/>
    </row>
    <row r="536">
      <c r="I536" s="8"/>
      <c r="K536" s="8"/>
    </row>
    <row r="537">
      <c r="I537" s="8"/>
      <c r="K537" s="8"/>
    </row>
    <row r="538">
      <c r="I538" s="8"/>
      <c r="K538" s="8"/>
    </row>
    <row r="539">
      <c r="I539" s="8"/>
      <c r="K539" s="8"/>
    </row>
    <row r="540">
      <c r="I540" s="8"/>
      <c r="K540" s="8"/>
    </row>
    <row r="541">
      <c r="I541" s="8"/>
      <c r="K541" s="8"/>
    </row>
    <row r="542">
      <c r="I542" s="8"/>
      <c r="K542" s="8"/>
    </row>
    <row r="543">
      <c r="I543" s="8"/>
      <c r="K543" s="8"/>
    </row>
    <row r="544">
      <c r="I544" s="8"/>
      <c r="K544" s="8"/>
    </row>
    <row r="545">
      <c r="I545" s="8"/>
      <c r="K545" s="8"/>
    </row>
    <row r="546">
      <c r="I546" s="8"/>
      <c r="K546" s="8"/>
    </row>
    <row r="547">
      <c r="I547" s="8"/>
      <c r="K547" s="8"/>
    </row>
    <row r="548">
      <c r="I548" s="8"/>
      <c r="K548" s="8"/>
    </row>
    <row r="549">
      <c r="I549" s="8"/>
      <c r="K549" s="8"/>
    </row>
    <row r="550">
      <c r="I550" s="8"/>
      <c r="K550" s="8"/>
    </row>
    <row r="551">
      <c r="I551" s="8"/>
      <c r="K551" s="8"/>
    </row>
    <row r="552">
      <c r="I552" s="8"/>
      <c r="K552" s="8"/>
    </row>
    <row r="553">
      <c r="I553" s="8"/>
      <c r="K553" s="8"/>
    </row>
    <row r="554">
      <c r="I554" s="8"/>
      <c r="K554" s="8"/>
    </row>
    <row r="555">
      <c r="I555" s="8"/>
      <c r="K555" s="8"/>
    </row>
    <row r="556">
      <c r="I556" s="8"/>
      <c r="K556" s="8"/>
    </row>
    <row r="557">
      <c r="I557" s="8"/>
      <c r="K557" s="8"/>
    </row>
    <row r="558">
      <c r="I558" s="8"/>
      <c r="K558" s="8"/>
    </row>
    <row r="559">
      <c r="I559" s="8"/>
      <c r="K559" s="8"/>
    </row>
    <row r="560">
      <c r="I560" s="8"/>
      <c r="K560" s="8"/>
    </row>
    <row r="561">
      <c r="I561" s="8"/>
      <c r="K561" s="8"/>
    </row>
    <row r="562">
      <c r="I562" s="8"/>
      <c r="K562" s="8"/>
    </row>
    <row r="563">
      <c r="I563" s="8"/>
      <c r="K563" s="8"/>
    </row>
    <row r="564">
      <c r="I564" s="8"/>
      <c r="K564" s="8"/>
    </row>
    <row r="565">
      <c r="I565" s="8"/>
      <c r="K565" s="8"/>
    </row>
    <row r="566">
      <c r="I566" s="8"/>
      <c r="K566" s="8"/>
    </row>
    <row r="567">
      <c r="I567" s="8"/>
      <c r="K567" s="8"/>
    </row>
    <row r="568">
      <c r="I568" s="8"/>
      <c r="K568" s="8"/>
    </row>
    <row r="569">
      <c r="I569" s="8"/>
      <c r="K569" s="8"/>
    </row>
    <row r="570">
      <c r="I570" s="8"/>
      <c r="K570" s="8"/>
    </row>
    <row r="571">
      <c r="I571" s="8"/>
      <c r="K571" s="8"/>
    </row>
    <row r="572">
      <c r="I572" s="8"/>
      <c r="K572" s="8"/>
    </row>
    <row r="573">
      <c r="I573" s="8"/>
      <c r="K573" s="8"/>
    </row>
    <row r="574">
      <c r="I574" s="8"/>
      <c r="K574" s="8"/>
    </row>
    <row r="575">
      <c r="I575" s="8"/>
      <c r="K575" s="8"/>
    </row>
    <row r="576">
      <c r="I576" s="8"/>
      <c r="K576" s="8"/>
    </row>
    <row r="577">
      <c r="I577" s="8"/>
      <c r="K577" s="8"/>
    </row>
    <row r="578">
      <c r="I578" s="8"/>
      <c r="K578" s="8"/>
    </row>
    <row r="579">
      <c r="I579" s="8"/>
      <c r="K579" s="8"/>
    </row>
    <row r="580">
      <c r="I580" s="8"/>
      <c r="K580" s="8"/>
    </row>
    <row r="581">
      <c r="I581" s="8"/>
      <c r="K581" s="8"/>
    </row>
    <row r="582">
      <c r="I582" s="8"/>
      <c r="K582" s="8"/>
    </row>
    <row r="583">
      <c r="I583" s="8"/>
      <c r="K583" s="8"/>
    </row>
    <row r="584">
      <c r="I584" s="8"/>
      <c r="K584" s="8"/>
    </row>
    <row r="585">
      <c r="I585" s="8"/>
      <c r="K585" s="8"/>
    </row>
    <row r="586">
      <c r="I586" s="8"/>
      <c r="K586" s="8"/>
    </row>
    <row r="587">
      <c r="I587" s="8"/>
      <c r="K587" s="8"/>
    </row>
    <row r="588">
      <c r="I588" s="8"/>
      <c r="K588" s="8"/>
    </row>
    <row r="589">
      <c r="I589" s="8"/>
      <c r="K589" s="8"/>
    </row>
    <row r="590">
      <c r="I590" s="8"/>
      <c r="K590" s="8"/>
    </row>
    <row r="591">
      <c r="I591" s="8"/>
      <c r="K591" s="8"/>
    </row>
    <row r="592">
      <c r="I592" s="8"/>
      <c r="K592" s="8"/>
    </row>
    <row r="593">
      <c r="I593" s="8"/>
      <c r="K593" s="8"/>
    </row>
    <row r="594">
      <c r="I594" s="8"/>
      <c r="K594" s="8"/>
    </row>
    <row r="595">
      <c r="I595" s="8"/>
      <c r="K595" s="8"/>
    </row>
    <row r="596">
      <c r="I596" s="8"/>
      <c r="K596" s="8"/>
    </row>
    <row r="597">
      <c r="I597" s="8"/>
      <c r="K597" s="8"/>
    </row>
    <row r="598">
      <c r="I598" s="8"/>
      <c r="K598" s="8"/>
    </row>
    <row r="599">
      <c r="I599" s="8"/>
      <c r="K599" s="8"/>
    </row>
    <row r="600">
      <c r="I600" s="8"/>
      <c r="K600" s="8"/>
    </row>
    <row r="601">
      <c r="I601" s="8"/>
      <c r="K601" s="8"/>
    </row>
    <row r="602">
      <c r="I602" s="8"/>
      <c r="K602" s="8"/>
    </row>
    <row r="603">
      <c r="I603" s="8"/>
      <c r="K603" s="8"/>
    </row>
    <row r="604">
      <c r="I604" s="8"/>
      <c r="K604" s="8"/>
    </row>
    <row r="605">
      <c r="I605" s="8"/>
      <c r="K605" s="8"/>
    </row>
    <row r="606">
      <c r="I606" s="8"/>
      <c r="K606" s="8"/>
    </row>
    <row r="607">
      <c r="I607" s="8"/>
      <c r="K607" s="8"/>
    </row>
    <row r="608">
      <c r="I608" s="8"/>
      <c r="K608" s="8"/>
    </row>
    <row r="609">
      <c r="I609" s="8"/>
      <c r="K609" s="8"/>
    </row>
    <row r="610">
      <c r="I610" s="8"/>
      <c r="K610" s="8"/>
    </row>
    <row r="611">
      <c r="I611" s="8"/>
      <c r="K611" s="8"/>
    </row>
    <row r="612">
      <c r="I612" s="8"/>
      <c r="K612" s="8"/>
    </row>
    <row r="613">
      <c r="I613" s="8"/>
      <c r="K613" s="8"/>
    </row>
    <row r="614">
      <c r="I614" s="8"/>
      <c r="K614" s="8"/>
    </row>
    <row r="615">
      <c r="I615" s="8"/>
      <c r="K615" s="8"/>
    </row>
    <row r="616">
      <c r="I616" s="8"/>
      <c r="K616" s="8"/>
    </row>
    <row r="617">
      <c r="I617" s="8"/>
      <c r="K617" s="8"/>
    </row>
    <row r="618">
      <c r="I618" s="8"/>
      <c r="K618" s="8"/>
    </row>
    <row r="619">
      <c r="I619" s="8"/>
      <c r="K619" s="8"/>
    </row>
    <row r="620">
      <c r="I620" s="8"/>
      <c r="K620" s="8"/>
    </row>
    <row r="621">
      <c r="I621" s="8"/>
      <c r="K621" s="8"/>
    </row>
    <row r="622">
      <c r="I622" s="8"/>
      <c r="K622" s="8"/>
    </row>
    <row r="623">
      <c r="I623" s="8"/>
      <c r="K623" s="8"/>
    </row>
    <row r="624">
      <c r="I624" s="8"/>
      <c r="K624" s="8"/>
    </row>
    <row r="625">
      <c r="I625" s="8"/>
      <c r="K625" s="8"/>
    </row>
    <row r="626">
      <c r="I626" s="8"/>
      <c r="K626" s="8"/>
    </row>
    <row r="627">
      <c r="I627" s="8"/>
      <c r="K627" s="8"/>
    </row>
    <row r="628">
      <c r="I628" s="8"/>
      <c r="K628" s="8"/>
    </row>
    <row r="629">
      <c r="I629" s="8"/>
      <c r="K629" s="8"/>
    </row>
    <row r="630">
      <c r="I630" s="8"/>
      <c r="K630" s="8"/>
    </row>
    <row r="631">
      <c r="I631" s="8"/>
      <c r="K631" s="8"/>
    </row>
    <row r="632">
      <c r="I632" s="8"/>
      <c r="K632" s="8"/>
    </row>
    <row r="633">
      <c r="I633" s="8"/>
      <c r="K633" s="8"/>
    </row>
    <row r="634">
      <c r="I634" s="8"/>
      <c r="K634" s="8"/>
    </row>
    <row r="635">
      <c r="I635" s="8"/>
      <c r="K635" s="8"/>
    </row>
    <row r="636">
      <c r="I636" s="8"/>
      <c r="K636" s="8"/>
    </row>
    <row r="637">
      <c r="I637" s="8"/>
      <c r="K637" s="8"/>
    </row>
    <row r="638">
      <c r="I638" s="8"/>
      <c r="K638" s="8"/>
    </row>
    <row r="639">
      <c r="I639" s="8"/>
      <c r="K639" s="8"/>
    </row>
    <row r="640">
      <c r="I640" s="8"/>
      <c r="K640" s="8"/>
    </row>
    <row r="641">
      <c r="I641" s="8"/>
      <c r="K641" s="8"/>
    </row>
    <row r="642">
      <c r="I642" s="8"/>
      <c r="K642" s="8"/>
    </row>
    <row r="643">
      <c r="I643" s="8"/>
      <c r="K643" s="8"/>
    </row>
    <row r="644">
      <c r="I644" s="8"/>
      <c r="K644" s="8"/>
    </row>
    <row r="645">
      <c r="I645" s="8"/>
      <c r="K645" s="8"/>
    </row>
    <row r="646">
      <c r="I646" s="8"/>
      <c r="K646" s="8"/>
    </row>
    <row r="647">
      <c r="I647" s="8"/>
      <c r="K647" s="8"/>
    </row>
    <row r="648">
      <c r="I648" s="8"/>
      <c r="K648" s="8"/>
    </row>
    <row r="649">
      <c r="I649" s="8"/>
      <c r="K649" s="8"/>
    </row>
    <row r="650">
      <c r="I650" s="8"/>
      <c r="K650" s="8"/>
    </row>
    <row r="651">
      <c r="I651" s="8"/>
      <c r="K651" s="8"/>
    </row>
    <row r="652">
      <c r="I652" s="8"/>
      <c r="K652" s="8"/>
    </row>
    <row r="653">
      <c r="I653" s="8"/>
      <c r="K653" s="8"/>
    </row>
    <row r="654">
      <c r="I654" s="8"/>
      <c r="K654" s="8"/>
    </row>
    <row r="655">
      <c r="I655" s="8"/>
      <c r="K655" s="8"/>
    </row>
    <row r="656">
      <c r="I656" s="8"/>
      <c r="K656" s="8"/>
    </row>
    <row r="657">
      <c r="I657" s="8"/>
      <c r="K657" s="8"/>
    </row>
    <row r="658">
      <c r="I658" s="8"/>
      <c r="K658" s="8"/>
    </row>
    <row r="659">
      <c r="I659" s="8"/>
      <c r="K659" s="8"/>
    </row>
    <row r="660">
      <c r="I660" s="8"/>
      <c r="K660" s="8"/>
    </row>
    <row r="661">
      <c r="I661" s="8"/>
      <c r="K661" s="8"/>
    </row>
    <row r="662">
      <c r="I662" s="8"/>
      <c r="K662" s="8"/>
    </row>
    <row r="663">
      <c r="I663" s="8"/>
      <c r="K663" s="8"/>
    </row>
    <row r="664">
      <c r="I664" s="8"/>
      <c r="K664" s="8"/>
    </row>
    <row r="665">
      <c r="I665" s="8"/>
      <c r="K665" s="8"/>
    </row>
    <row r="666">
      <c r="I666" s="8"/>
      <c r="K666" s="8"/>
    </row>
    <row r="667">
      <c r="I667" s="8"/>
      <c r="K667" s="8"/>
    </row>
    <row r="668">
      <c r="I668" s="8"/>
      <c r="K668" s="8"/>
    </row>
    <row r="669">
      <c r="I669" s="8"/>
      <c r="K669" s="8"/>
    </row>
    <row r="670">
      <c r="I670" s="8"/>
      <c r="K670" s="8"/>
    </row>
    <row r="671">
      <c r="I671" s="8"/>
      <c r="K671" s="8"/>
    </row>
    <row r="672">
      <c r="I672" s="8"/>
      <c r="K672" s="8"/>
    </row>
    <row r="673">
      <c r="I673" s="8"/>
      <c r="K673" s="8"/>
    </row>
    <row r="674">
      <c r="I674" s="8"/>
      <c r="K674" s="8"/>
    </row>
    <row r="675">
      <c r="I675" s="8"/>
      <c r="K675" s="8"/>
    </row>
    <row r="676">
      <c r="I676" s="8"/>
      <c r="K676" s="8"/>
    </row>
    <row r="677">
      <c r="I677" s="8"/>
      <c r="K677" s="8"/>
    </row>
    <row r="678">
      <c r="I678" s="8"/>
      <c r="K678" s="8"/>
    </row>
    <row r="679">
      <c r="I679" s="8"/>
      <c r="K679" s="8"/>
    </row>
    <row r="680">
      <c r="I680" s="8"/>
      <c r="K680" s="8"/>
    </row>
    <row r="681">
      <c r="I681" s="8"/>
      <c r="K681" s="8"/>
    </row>
    <row r="682">
      <c r="I682" s="8"/>
      <c r="K682" s="8"/>
    </row>
    <row r="683">
      <c r="I683" s="8"/>
      <c r="K683" s="8"/>
    </row>
    <row r="684">
      <c r="I684" s="8"/>
      <c r="K684" s="8"/>
    </row>
    <row r="685">
      <c r="I685" s="8"/>
      <c r="K685" s="8"/>
    </row>
    <row r="686">
      <c r="I686" s="8"/>
      <c r="K686" s="8"/>
    </row>
    <row r="687">
      <c r="I687" s="8"/>
      <c r="K687" s="8"/>
    </row>
    <row r="688">
      <c r="I688" s="8"/>
      <c r="K688" s="8"/>
    </row>
    <row r="689">
      <c r="I689" s="8"/>
      <c r="K689" s="8"/>
    </row>
    <row r="690">
      <c r="I690" s="8"/>
      <c r="K690" s="8"/>
    </row>
    <row r="691">
      <c r="I691" s="8"/>
      <c r="K691" s="8"/>
    </row>
    <row r="692">
      <c r="I692" s="8"/>
      <c r="K692" s="8"/>
    </row>
    <row r="693">
      <c r="I693" s="8"/>
      <c r="K693" s="8"/>
    </row>
    <row r="694">
      <c r="I694" s="8"/>
      <c r="K694" s="8"/>
    </row>
    <row r="695">
      <c r="I695" s="8"/>
      <c r="K695" s="8"/>
    </row>
    <row r="696">
      <c r="I696" s="8"/>
      <c r="K696" s="8"/>
    </row>
    <row r="697">
      <c r="I697" s="8"/>
      <c r="K697" s="8"/>
    </row>
    <row r="698">
      <c r="I698" s="8"/>
      <c r="K698" s="8"/>
    </row>
    <row r="699">
      <c r="I699" s="8"/>
      <c r="K699" s="8"/>
    </row>
    <row r="700">
      <c r="I700" s="8"/>
      <c r="K700" s="8"/>
    </row>
    <row r="701">
      <c r="I701" s="8"/>
      <c r="K701" s="8"/>
    </row>
    <row r="702">
      <c r="I702" s="8"/>
      <c r="K702" s="8"/>
    </row>
    <row r="703">
      <c r="I703" s="8"/>
      <c r="K703" s="8"/>
    </row>
    <row r="704">
      <c r="I704" s="8"/>
      <c r="K704" s="8"/>
    </row>
    <row r="705">
      <c r="I705" s="8"/>
      <c r="K705" s="8"/>
    </row>
    <row r="706">
      <c r="I706" s="8"/>
      <c r="K706" s="8"/>
    </row>
    <row r="707">
      <c r="I707" s="8"/>
      <c r="K707" s="8"/>
    </row>
    <row r="708">
      <c r="I708" s="8"/>
      <c r="K708" s="8"/>
    </row>
    <row r="709">
      <c r="I709" s="8"/>
      <c r="K709" s="8"/>
    </row>
    <row r="710">
      <c r="I710" s="8"/>
      <c r="K710" s="8"/>
    </row>
    <row r="711">
      <c r="I711" s="8"/>
      <c r="K711" s="8"/>
    </row>
    <row r="712">
      <c r="I712" s="8"/>
      <c r="K712" s="8"/>
    </row>
    <row r="713">
      <c r="I713" s="8"/>
      <c r="K713" s="8"/>
    </row>
    <row r="714">
      <c r="I714" s="8"/>
      <c r="K714" s="8"/>
    </row>
    <row r="715">
      <c r="I715" s="8"/>
      <c r="K715" s="8"/>
    </row>
    <row r="716">
      <c r="I716" s="8"/>
      <c r="K716" s="8"/>
    </row>
    <row r="717">
      <c r="I717" s="8"/>
      <c r="K717" s="8"/>
    </row>
    <row r="718">
      <c r="I718" s="8"/>
      <c r="K718" s="8"/>
    </row>
    <row r="719">
      <c r="I719" s="8"/>
      <c r="K719" s="8"/>
    </row>
    <row r="720">
      <c r="I720" s="8"/>
      <c r="K720" s="8"/>
    </row>
    <row r="721">
      <c r="I721" s="8"/>
      <c r="K721" s="8"/>
    </row>
    <row r="722">
      <c r="I722" s="8"/>
      <c r="K722" s="8"/>
    </row>
    <row r="723">
      <c r="I723" s="8"/>
      <c r="K723" s="8"/>
    </row>
    <row r="724">
      <c r="I724" s="8"/>
      <c r="K724" s="8"/>
    </row>
    <row r="725">
      <c r="I725" s="8"/>
      <c r="K725" s="8"/>
    </row>
    <row r="726">
      <c r="I726" s="8"/>
      <c r="K726" s="8"/>
    </row>
    <row r="727">
      <c r="I727" s="8"/>
      <c r="K727" s="8"/>
    </row>
    <row r="728">
      <c r="I728" s="8"/>
      <c r="K728" s="8"/>
    </row>
    <row r="729">
      <c r="I729" s="8"/>
      <c r="K729" s="8"/>
    </row>
    <row r="730">
      <c r="I730" s="8"/>
      <c r="K730" s="8"/>
    </row>
    <row r="731">
      <c r="I731" s="8"/>
      <c r="K731" s="8"/>
    </row>
    <row r="732">
      <c r="I732" s="8"/>
      <c r="K732" s="8"/>
    </row>
    <row r="733">
      <c r="I733" s="8"/>
      <c r="K733" s="8"/>
    </row>
    <row r="734">
      <c r="I734" s="8"/>
      <c r="K734" s="8"/>
    </row>
    <row r="735">
      <c r="I735" s="8"/>
      <c r="K735" s="8"/>
    </row>
    <row r="736">
      <c r="I736" s="8"/>
      <c r="K736" s="8"/>
    </row>
    <row r="737">
      <c r="I737" s="8"/>
      <c r="K737" s="8"/>
    </row>
    <row r="738">
      <c r="I738" s="8"/>
      <c r="K738" s="8"/>
    </row>
    <row r="739">
      <c r="I739" s="8"/>
      <c r="K739" s="8"/>
    </row>
    <row r="740">
      <c r="I740" s="8"/>
      <c r="K740" s="8"/>
    </row>
    <row r="741">
      <c r="I741" s="8"/>
      <c r="K741" s="8"/>
    </row>
    <row r="742">
      <c r="I742" s="8"/>
      <c r="K742" s="8"/>
    </row>
    <row r="743">
      <c r="I743" s="8"/>
      <c r="K743" s="8"/>
    </row>
    <row r="744">
      <c r="I744" s="8"/>
      <c r="K744" s="8"/>
    </row>
    <row r="745">
      <c r="I745" s="8"/>
      <c r="K745" s="8"/>
    </row>
    <row r="746">
      <c r="I746" s="8"/>
      <c r="K746" s="8"/>
    </row>
    <row r="747">
      <c r="I747" s="8"/>
      <c r="K747" s="8"/>
    </row>
    <row r="748">
      <c r="I748" s="8"/>
      <c r="K748" s="8"/>
    </row>
    <row r="749">
      <c r="I749" s="8"/>
      <c r="K749" s="8"/>
    </row>
    <row r="750">
      <c r="I750" s="8"/>
      <c r="K750" s="8"/>
    </row>
    <row r="751">
      <c r="I751" s="8"/>
      <c r="K751" s="8"/>
    </row>
    <row r="752">
      <c r="I752" s="8"/>
      <c r="K752" s="8"/>
    </row>
    <row r="753">
      <c r="I753" s="8"/>
      <c r="K753" s="8"/>
    </row>
    <row r="754">
      <c r="I754" s="8"/>
      <c r="K754" s="8"/>
    </row>
    <row r="755">
      <c r="I755" s="8"/>
      <c r="K755" s="8"/>
    </row>
    <row r="756">
      <c r="I756" s="8"/>
      <c r="K756" s="8"/>
    </row>
    <row r="757">
      <c r="I757" s="8"/>
      <c r="K757" s="8"/>
    </row>
    <row r="758">
      <c r="I758" s="8"/>
      <c r="K758" s="8"/>
    </row>
    <row r="759">
      <c r="I759" s="8"/>
      <c r="K759" s="8"/>
    </row>
    <row r="760">
      <c r="I760" s="8"/>
      <c r="K760" s="8"/>
    </row>
    <row r="761">
      <c r="I761" s="8"/>
      <c r="K761" s="8"/>
    </row>
    <row r="762">
      <c r="I762" s="8"/>
      <c r="K762" s="8"/>
    </row>
    <row r="763">
      <c r="I763" s="8"/>
      <c r="K763" s="8"/>
    </row>
    <row r="764">
      <c r="I764" s="8"/>
      <c r="K764" s="8"/>
    </row>
    <row r="765">
      <c r="I765" s="8"/>
      <c r="K765" s="8"/>
    </row>
    <row r="766">
      <c r="I766" s="8"/>
      <c r="K766" s="8"/>
    </row>
    <row r="767">
      <c r="I767" s="8"/>
      <c r="K767" s="8"/>
    </row>
    <row r="768">
      <c r="I768" s="8"/>
      <c r="K768" s="8"/>
    </row>
    <row r="769">
      <c r="I769" s="8"/>
      <c r="K769" s="8"/>
    </row>
    <row r="770">
      <c r="I770" s="8"/>
      <c r="K770" s="8"/>
    </row>
    <row r="771">
      <c r="I771" s="8"/>
      <c r="K771" s="8"/>
    </row>
    <row r="772">
      <c r="I772" s="8"/>
      <c r="K772" s="8"/>
    </row>
    <row r="773">
      <c r="I773" s="8"/>
      <c r="K773" s="8"/>
    </row>
    <row r="774">
      <c r="I774" s="8"/>
      <c r="K774" s="8"/>
    </row>
    <row r="775">
      <c r="I775" s="8"/>
      <c r="K775" s="8"/>
    </row>
    <row r="776">
      <c r="I776" s="8"/>
      <c r="K776" s="8"/>
    </row>
    <row r="777">
      <c r="I777" s="8"/>
      <c r="K777" s="8"/>
    </row>
    <row r="778">
      <c r="I778" s="8"/>
      <c r="K778" s="8"/>
    </row>
    <row r="779">
      <c r="I779" s="8"/>
      <c r="K779" s="8"/>
    </row>
    <row r="780">
      <c r="I780" s="8"/>
      <c r="K780" s="8"/>
    </row>
    <row r="781">
      <c r="I781" s="8"/>
      <c r="K781" s="8"/>
    </row>
    <row r="782">
      <c r="I782" s="8"/>
      <c r="K782" s="8"/>
    </row>
    <row r="783">
      <c r="I783" s="8"/>
      <c r="K783" s="8"/>
    </row>
    <row r="784">
      <c r="I784" s="8"/>
      <c r="K784" s="8"/>
    </row>
    <row r="785">
      <c r="I785" s="8"/>
      <c r="K785" s="8"/>
    </row>
    <row r="786">
      <c r="I786" s="8"/>
      <c r="K786" s="8"/>
    </row>
    <row r="787">
      <c r="I787" s="8"/>
      <c r="K787" s="8"/>
    </row>
    <row r="788">
      <c r="I788" s="8"/>
      <c r="K788" s="8"/>
    </row>
    <row r="789">
      <c r="I789" s="8"/>
      <c r="K789" s="8"/>
    </row>
    <row r="790">
      <c r="I790" s="8"/>
      <c r="K790" s="8"/>
    </row>
    <row r="791">
      <c r="I791" s="8"/>
      <c r="K791" s="8"/>
    </row>
    <row r="792">
      <c r="I792" s="8"/>
      <c r="K792" s="8"/>
    </row>
    <row r="793">
      <c r="I793" s="8"/>
      <c r="K793" s="8"/>
    </row>
    <row r="794">
      <c r="I794" s="8"/>
      <c r="K794" s="8"/>
    </row>
    <row r="795">
      <c r="I795" s="8"/>
      <c r="K795" s="8"/>
    </row>
    <row r="796">
      <c r="I796" s="8"/>
      <c r="K796" s="8"/>
    </row>
    <row r="797">
      <c r="I797" s="8"/>
      <c r="K797" s="8"/>
    </row>
    <row r="798">
      <c r="I798" s="8"/>
      <c r="K798" s="8"/>
    </row>
    <row r="799">
      <c r="I799" s="8"/>
      <c r="K799" s="8"/>
    </row>
    <row r="800">
      <c r="I800" s="8"/>
      <c r="K800" s="8"/>
    </row>
    <row r="801">
      <c r="I801" s="8"/>
      <c r="K801" s="8"/>
    </row>
    <row r="802">
      <c r="I802" s="8"/>
      <c r="K802" s="8"/>
    </row>
    <row r="803">
      <c r="I803" s="8"/>
      <c r="K803" s="8"/>
    </row>
    <row r="804">
      <c r="I804" s="8"/>
      <c r="K804" s="8"/>
    </row>
    <row r="805">
      <c r="I805" s="8"/>
      <c r="K805" s="8"/>
    </row>
    <row r="806">
      <c r="I806" s="8"/>
      <c r="K806" s="8"/>
    </row>
    <row r="807">
      <c r="I807" s="8"/>
      <c r="K807" s="8"/>
    </row>
    <row r="808">
      <c r="I808" s="8"/>
      <c r="K808" s="8"/>
    </row>
    <row r="809">
      <c r="I809" s="8"/>
      <c r="K809" s="8"/>
    </row>
    <row r="810">
      <c r="I810" s="8"/>
      <c r="K810" s="8"/>
    </row>
    <row r="811">
      <c r="I811" s="8"/>
      <c r="K811" s="8"/>
    </row>
    <row r="812">
      <c r="I812" s="8"/>
      <c r="K812" s="8"/>
    </row>
    <row r="813">
      <c r="I813" s="8"/>
      <c r="K813" s="8"/>
    </row>
    <row r="814">
      <c r="I814" s="8"/>
      <c r="K814" s="8"/>
    </row>
    <row r="815">
      <c r="I815" s="8"/>
      <c r="K815" s="8"/>
    </row>
    <row r="816">
      <c r="I816" s="8"/>
      <c r="K816" s="8"/>
    </row>
    <row r="817">
      <c r="I817" s="8"/>
      <c r="K817" s="8"/>
    </row>
    <row r="818">
      <c r="I818" s="8"/>
      <c r="K818" s="8"/>
    </row>
    <row r="819">
      <c r="I819" s="8"/>
      <c r="K819" s="8"/>
    </row>
    <row r="820">
      <c r="I820" s="8"/>
      <c r="K820" s="8"/>
    </row>
    <row r="821">
      <c r="I821" s="8"/>
      <c r="K821" s="8"/>
    </row>
    <row r="822">
      <c r="I822" s="8"/>
      <c r="K822" s="8"/>
    </row>
    <row r="823">
      <c r="I823" s="8"/>
      <c r="K823" s="8"/>
    </row>
    <row r="824">
      <c r="I824" s="8"/>
      <c r="K824" s="8"/>
    </row>
    <row r="825">
      <c r="I825" s="8"/>
      <c r="K825" s="8"/>
    </row>
    <row r="826">
      <c r="I826" s="8"/>
      <c r="K826" s="8"/>
    </row>
    <row r="827">
      <c r="I827" s="8"/>
      <c r="K827" s="8"/>
    </row>
    <row r="828">
      <c r="I828" s="8"/>
      <c r="K828" s="8"/>
    </row>
    <row r="829">
      <c r="I829" s="8"/>
      <c r="K829" s="8"/>
    </row>
    <row r="830">
      <c r="I830" s="8"/>
      <c r="K830" s="8"/>
    </row>
    <row r="831">
      <c r="I831" s="8"/>
      <c r="K831" s="8"/>
    </row>
    <row r="832">
      <c r="I832" s="8"/>
      <c r="K832" s="8"/>
    </row>
    <row r="833">
      <c r="I833" s="8"/>
      <c r="K833" s="8"/>
    </row>
    <row r="834">
      <c r="I834" s="8"/>
      <c r="K834" s="8"/>
    </row>
    <row r="835">
      <c r="I835" s="8"/>
      <c r="K835" s="8"/>
    </row>
    <row r="836">
      <c r="I836" s="8"/>
      <c r="K836" s="8"/>
    </row>
    <row r="837">
      <c r="I837" s="8"/>
      <c r="K837" s="8"/>
    </row>
    <row r="838">
      <c r="I838" s="8"/>
      <c r="K838" s="8"/>
    </row>
    <row r="839">
      <c r="I839" s="8"/>
      <c r="K839" s="8"/>
    </row>
    <row r="840">
      <c r="I840" s="8"/>
      <c r="K840" s="8"/>
    </row>
    <row r="841">
      <c r="I841" s="8"/>
      <c r="K841" s="8"/>
    </row>
    <row r="842">
      <c r="I842" s="8"/>
      <c r="K842" s="8"/>
    </row>
    <row r="843">
      <c r="I843" s="8"/>
      <c r="K843" s="8"/>
    </row>
    <row r="844">
      <c r="I844" s="8"/>
      <c r="K844" s="8"/>
    </row>
    <row r="845">
      <c r="I845" s="8"/>
      <c r="K845" s="8"/>
    </row>
    <row r="846">
      <c r="I846" s="8"/>
      <c r="K846" s="8"/>
    </row>
    <row r="847">
      <c r="I847" s="8"/>
      <c r="K847" s="8"/>
    </row>
    <row r="848">
      <c r="I848" s="8"/>
      <c r="K848" s="8"/>
    </row>
    <row r="849">
      <c r="I849" s="8"/>
      <c r="K849" s="8"/>
    </row>
    <row r="850">
      <c r="I850" s="8"/>
      <c r="K850" s="8"/>
    </row>
    <row r="851">
      <c r="I851" s="8"/>
      <c r="K851" s="8"/>
    </row>
    <row r="852">
      <c r="I852" s="8"/>
      <c r="K852" s="8"/>
    </row>
    <row r="853">
      <c r="I853" s="8"/>
      <c r="K853" s="8"/>
    </row>
    <row r="854">
      <c r="I854" s="8"/>
      <c r="K854" s="8"/>
    </row>
    <row r="855">
      <c r="I855" s="8"/>
      <c r="K855" s="8"/>
    </row>
    <row r="856">
      <c r="I856" s="8"/>
      <c r="K856" s="8"/>
    </row>
    <row r="857">
      <c r="I857" s="8"/>
      <c r="K857" s="8"/>
    </row>
    <row r="858">
      <c r="I858" s="8"/>
      <c r="K858" s="8"/>
    </row>
    <row r="859">
      <c r="I859" s="8"/>
      <c r="K859" s="8"/>
    </row>
    <row r="860">
      <c r="I860" s="8"/>
      <c r="K860" s="8"/>
    </row>
    <row r="861">
      <c r="I861" s="8"/>
      <c r="K861" s="8"/>
    </row>
    <row r="862">
      <c r="I862" s="8"/>
      <c r="K862" s="8"/>
    </row>
    <row r="863">
      <c r="I863" s="8"/>
      <c r="K863" s="8"/>
    </row>
    <row r="864">
      <c r="I864" s="8"/>
      <c r="K864" s="8"/>
    </row>
    <row r="865">
      <c r="I865" s="8"/>
      <c r="K865" s="8"/>
    </row>
    <row r="866">
      <c r="I866" s="8"/>
      <c r="K866" s="8"/>
    </row>
    <row r="867">
      <c r="I867" s="8"/>
      <c r="K867" s="8"/>
    </row>
    <row r="868">
      <c r="I868" s="8"/>
      <c r="K868" s="8"/>
    </row>
    <row r="869">
      <c r="I869" s="8"/>
      <c r="K869" s="8"/>
    </row>
    <row r="870">
      <c r="I870" s="8"/>
      <c r="K870" s="8"/>
    </row>
    <row r="871">
      <c r="I871" s="8"/>
      <c r="K871" s="8"/>
    </row>
    <row r="872">
      <c r="I872" s="8"/>
      <c r="K872" s="8"/>
    </row>
    <row r="873">
      <c r="I873" s="8"/>
      <c r="K873" s="8"/>
    </row>
    <row r="874">
      <c r="I874" s="8"/>
      <c r="K874" s="8"/>
    </row>
    <row r="875">
      <c r="I875" s="8"/>
      <c r="K875" s="8"/>
    </row>
    <row r="876">
      <c r="I876" s="8"/>
      <c r="K876" s="8"/>
    </row>
    <row r="877">
      <c r="I877" s="8"/>
      <c r="K877" s="8"/>
    </row>
    <row r="878">
      <c r="I878" s="8"/>
      <c r="K878" s="8"/>
    </row>
    <row r="879">
      <c r="I879" s="8"/>
      <c r="K879" s="8"/>
    </row>
    <row r="880">
      <c r="I880" s="8"/>
      <c r="K880" s="8"/>
    </row>
    <row r="881">
      <c r="I881" s="8"/>
      <c r="K881" s="8"/>
    </row>
    <row r="882">
      <c r="I882" s="8"/>
      <c r="K882" s="8"/>
    </row>
    <row r="883">
      <c r="I883" s="8"/>
      <c r="K883" s="8"/>
    </row>
    <row r="884">
      <c r="I884" s="8"/>
      <c r="K884" s="8"/>
    </row>
    <row r="885">
      <c r="I885" s="8"/>
      <c r="K885" s="8"/>
    </row>
    <row r="886">
      <c r="I886" s="8"/>
      <c r="K886" s="8"/>
    </row>
    <row r="887">
      <c r="I887" s="8"/>
      <c r="K887" s="8"/>
    </row>
    <row r="888">
      <c r="I888" s="8"/>
      <c r="K888" s="8"/>
    </row>
    <row r="889">
      <c r="I889" s="8"/>
      <c r="K889" s="8"/>
    </row>
    <row r="890">
      <c r="I890" s="8"/>
      <c r="K890" s="8"/>
    </row>
    <row r="891">
      <c r="I891" s="8"/>
      <c r="K891" s="8"/>
    </row>
    <row r="892">
      <c r="I892" s="8"/>
      <c r="K892" s="8"/>
    </row>
    <row r="893">
      <c r="I893" s="8"/>
      <c r="K893" s="8"/>
    </row>
    <row r="894">
      <c r="I894" s="8"/>
      <c r="K894" s="8"/>
    </row>
    <row r="895">
      <c r="I895" s="8"/>
      <c r="K895" s="8"/>
    </row>
    <row r="896">
      <c r="I896" s="8"/>
      <c r="K896" s="8"/>
    </row>
    <row r="897">
      <c r="I897" s="8"/>
      <c r="K897" s="8"/>
    </row>
    <row r="898">
      <c r="I898" s="8"/>
      <c r="K898" s="8"/>
    </row>
    <row r="899">
      <c r="I899" s="8"/>
      <c r="K899" s="8"/>
    </row>
    <row r="900">
      <c r="I900" s="8"/>
      <c r="K900" s="8"/>
    </row>
    <row r="901">
      <c r="I901" s="8"/>
      <c r="K901" s="8"/>
    </row>
    <row r="902">
      <c r="I902" s="8"/>
      <c r="K902" s="8"/>
    </row>
    <row r="903">
      <c r="I903" s="8"/>
      <c r="K903" s="8"/>
    </row>
    <row r="904">
      <c r="I904" s="8"/>
      <c r="K904" s="8"/>
    </row>
    <row r="905">
      <c r="I905" s="8"/>
      <c r="K905" s="8"/>
    </row>
    <row r="906">
      <c r="I906" s="8"/>
      <c r="K906" s="8"/>
    </row>
    <row r="907">
      <c r="I907" s="8"/>
      <c r="K907" s="8"/>
    </row>
    <row r="908">
      <c r="I908" s="8"/>
      <c r="K908" s="8"/>
    </row>
    <row r="909">
      <c r="I909" s="8"/>
      <c r="K909" s="8"/>
    </row>
    <row r="910">
      <c r="I910" s="8"/>
      <c r="K910" s="8"/>
    </row>
    <row r="911">
      <c r="I911" s="8"/>
      <c r="K911" s="8"/>
    </row>
    <row r="912">
      <c r="I912" s="8"/>
      <c r="K912" s="8"/>
    </row>
    <row r="913">
      <c r="I913" s="8"/>
      <c r="K913" s="8"/>
    </row>
    <row r="914">
      <c r="I914" s="8"/>
      <c r="K914" s="8"/>
    </row>
    <row r="915">
      <c r="I915" s="8"/>
      <c r="K915" s="8"/>
    </row>
    <row r="916">
      <c r="I916" s="8"/>
      <c r="K916" s="8"/>
    </row>
    <row r="917">
      <c r="I917" s="8"/>
      <c r="K917" s="8"/>
    </row>
    <row r="918">
      <c r="I918" s="8"/>
      <c r="K918" s="8"/>
    </row>
    <row r="919">
      <c r="I919" s="8"/>
      <c r="K919" s="8"/>
    </row>
    <row r="920">
      <c r="I920" s="8"/>
      <c r="K920" s="8"/>
    </row>
    <row r="921">
      <c r="I921" s="8"/>
      <c r="K921" s="8"/>
    </row>
    <row r="922">
      <c r="I922" s="8"/>
      <c r="K922" s="8"/>
    </row>
    <row r="923">
      <c r="I923" s="8"/>
      <c r="K923" s="8"/>
    </row>
    <row r="924">
      <c r="I924" s="8"/>
      <c r="K924" s="8"/>
    </row>
    <row r="925">
      <c r="I925" s="8"/>
      <c r="K925" s="8"/>
    </row>
    <row r="926">
      <c r="I926" s="8"/>
      <c r="K926" s="8"/>
    </row>
    <row r="927">
      <c r="I927" s="8"/>
      <c r="K927" s="8"/>
    </row>
    <row r="928">
      <c r="I928" s="8"/>
      <c r="K928" s="8"/>
    </row>
    <row r="929">
      <c r="I929" s="8"/>
      <c r="K929" s="8"/>
    </row>
    <row r="930">
      <c r="I930" s="8"/>
      <c r="K930" s="8"/>
    </row>
    <row r="931">
      <c r="I931" s="8"/>
      <c r="K931" s="8"/>
    </row>
    <row r="932">
      <c r="I932" s="8"/>
      <c r="K932" s="8"/>
    </row>
    <row r="933">
      <c r="I933" s="8"/>
      <c r="K933" s="8"/>
    </row>
    <row r="934">
      <c r="I934" s="8"/>
      <c r="K934" s="8"/>
    </row>
    <row r="935">
      <c r="I935" s="8"/>
      <c r="K935" s="8"/>
    </row>
    <row r="936">
      <c r="I936" s="8"/>
      <c r="K936" s="8"/>
    </row>
    <row r="937">
      <c r="I937" s="8"/>
      <c r="K937" s="8"/>
    </row>
    <row r="938">
      <c r="I938" s="8"/>
      <c r="K938" s="8"/>
    </row>
    <row r="939">
      <c r="I939" s="8"/>
      <c r="K939" s="8"/>
    </row>
    <row r="940">
      <c r="I940" s="8"/>
      <c r="K940" s="8"/>
    </row>
    <row r="941">
      <c r="I941" s="8"/>
      <c r="K941" s="8"/>
    </row>
    <row r="942">
      <c r="I942" s="8"/>
      <c r="K942" s="8"/>
    </row>
    <row r="943">
      <c r="I943" s="8"/>
      <c r="K943" s="8"/>
    </row>
    <row r="944">
      <c r="I944" s="8"/>
      <c r="K944" s="8"/>
    </row>
    <row r="945">
      <c r="I945" s="8"/>
      <c r="K945" s="8"/>
    </row>
    <row r="946">
      <c r="I946" s="8"/>
      <c r="K946" s="8"/>
    </row>
    <row r="947">
      <c r="I947" s="8"/>
      <c r="K947" s="8"/>
    </row>
    <row r="948">
      <c r="I948" s="8"/>
      <c r="K948" s="8"/>
    </row>
    <row r="949">
      <c r="I949" s="8"/>
      <c r="K949" s="8"/>
    </row>
    <row r="950">
      <c r="I950" s="8"/>
      <c r="K950" s="8"/>
    </row>
    <row r="951">
      <c r="I951" s="8"/>
      <c r="K951" s="8"/>
    </row>
    <row r="952">
      <c r="I952" s="8"/>
      <c r="K952" s="8"/>
    </row>
    <row r="953">
      <c r="I953" s="8"/>
      <c r="K953" s="8"/>
    </row>
    <row r="954">
      <c r="I954" s="8"/>
      <c r="K954" s="8"/>
    </row>
    <row r="955">
      <c r="I955" s="8"/>
      <c r="K955" s="8"/>
    </row>
    <row r="956">
      <c r="I956" s="8"/>
      <c r="K956" s="8"/>
    </row>
    <row r="957">
      <c r="I957" s="8"/>
      <c r="K957" s="8"/>
    </row>
    <row r="958">
      <c r="I958" s="8"/>
      <c r="K958" s="8"/>
    </row>
    <row r="959">
      <c r="I959" s="8"/>
      <c r="K959" s="8"/>
    </row>
    <row r="960">
      <c r="I960" s="8"/>
      <c r="K960" s="8"/>
    </row>
    <row r="961">
      <c r="I961" s="8"/>
      <c r="K961" s="8"/>
    </row>
    <row r="962">
      <c r="I962" s="8"/>
      <c r="K962" s="8"/>
    </row>
    <row r="963">
      <c r="I963" s="8"/>
      <c r="K963" s="8"/>
    </row>
    <row r="964">
      <c r="I964" s="8"/>
      <c r="K964" s="8"/>
    </row>
    <row r="965">
      <c r="I965" s="8"/>
      <c r="K965" s="8"/>
    </row>
    <row r="966">
      <c r="I966" s="8"/>
      <c r="K966" s="8"/>
    </row>
    <row r="967">
      <c r="I967" s="8"/>
      <c r="K967" s="8"/>
    </row>
    <row r="968">
      <c r="I968" s="8"/>
      <c r="K968" s="8"/>
    </row>
    <row r="969">
      <c r="I969" s="8"/>
      <c r="K969" s="8"/>
    </row>
    <row r="970">
      <c r="I970" s="8"/>
      <c r="K970" s="8"/>
    </row>
    <row r="971">
      <c r="I971" s="8"/>
      <c r="K971" s="8"/>
    </row>
    <row r="972">
      <c r="I972" s="8"/>
      <c r="K972" s="8"/>
    </row>
    <row r="973">
      <c r="I973" s="8"/>
      <c r="K973" s="8"/>
    </row>
    <row r="974">
      <c r="I974" s="8"/>
      <c r="K974" s="8"/>
    </row>
    <row r="975">
      <c r="I975" s="8"/>
      <c r="K975" s="8"/>
    </row>
    <row r="976">
      <c r="I976" s="8"/>
      <c r="K976" s="8"/>
    </row>
    <row r="977">
      <c r="I977" s="8"/>
      <c r="K977" s="8"/>
    </row>
    <row r="978">
      <c r="I978" s="8"/>
      <c r="K978" s="8"/>
    </row>
    <row r="979">
      <c r="I979" s="8"/>
      <c r="K979" s="8"/>
    </row>
    <row r="980">
      <c r="I980" s="8"/>
      <c r="K980" s="8"/>
    </row>
    <row r="981">
      <c r="I981" s="8"/>
      <c r="K981" s="8"/>
    </row>
    <row r="982">
      <c r="I982" s="8"/>
      <c r="K982" s="8"/>
    </row>
    <row r="983">
      <c r="I983" s="8"/>
      <c r="K983" s="8"/>
    </row>
    <row r="984">
      <c r="I984" s="8"/>
      <c r="K984" s="8"/>
    </row>
    <row r="985">
      <c r="I985" s="8"/>
      <c r="K985" s="8"/>
    </row>
    <row r="986">
      <c r="I986" s="8"/>
      <c r="K986" s="8"/>
    </row>
    <row r="987">
      <c r="I987" s="8"/>
      <c r="K987" s="8"/>
    </row>
    <row r="988">
      <c r="I988" s="8"/>
      <c r="K988" s="8"/>
    </row>
    <row r="989">
      <c r="I989" s="8"/>
      <c r="K989" s="8"/>
    </row>
    <row r="990">
      <c r="I990" s="8"/>
      <c r="K990" s="8"/>
    </row>
    <row r="991">
      <c r="I991" s="8"/>
      <c r="K991" s="8"/>
    </row>
    <row r="992">
      <c r="I992" s="8"/>
      <c r="K992" s="8"/>
    </row>
    <row r="993">
      <c r="I993" s="8"/>
      <c r="K993" s="8"/>
    </row>
    <row r="994">
      <c r="I994" s="8"/>
      <c r="K994" s="8"/>
    </row>
    <row r="995">
      <c r="I995" s="8"/>
      <c r="K995" s="8"/>
    </row>
    <row r="996">
      <c r="I996" s="8"/>
      <c r="K996" s="8"/>
    </row>
    <row r="997">
      <c r="I997" s="8"/>
      <c r="K997" s="8"/>
    </row>
    <row r="998">
      <c r="I998" s="8"/>
      <c r="K998" s="8"/>
    </row>
    <row r="999">
      <c r="I999" s="8"/>
      <c r="K999" s="8"/>
    </row>
    <row r="1000">
      <c r="I1000" s="8"/>
      <c r="K1000" s="8"/>
    </row>
  </sheetData>
  <conditionalFormatting sqref="S2:S29">
    <cfRule type="cellIs" dxfId="0" priority="1" operator="greaterThanOrEqual">
      <formula>3</formula>
    </cfRule>
  </conditionalFormatting>
  <conditionalFormatting sqref="S2:S29">
    <cfRule type="cellIs" dxfId="1" priority="2" operator="between">
      <formula>2.8</formula>
      <formula>2.999</formula>
    </cfRule>
  </conditionalFormatting>
  <conditionalFormatting sqref="S2:S29">
    <cfRule type="cellIs" dxfId="2" priority="3" operator="lessThan">
      <formula>2.8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88"/>
    <col customWidth="1" min="2" max="2" width="40.25"/>
    <col customWidth="1" min="3" max="6" width="3.88"/>
    <col customWidth="1" min="7" max="7" width="6.0"/>
    <col customWidth="1" min="8" max="8" width="6.25"/>
    <col customWidth="1" min="9" max="9" width="5.63"/>
    <col customWidth="1" min="10" max="15" width="3.88"/>
    <col customWidth="1" min="16" max="16" width="6.5"/>
    <col customWidth="1" min="17" max="17" width="8.13"/>
    <col customWidth="1" min="18" max="18" width="7.13"/>
    <col customWidth="1" min="19" max="19" width="5.88"/>
    <col customWidth="1" min="20" max="20" width="6.88"/>
    <col customWidth="1" min="21" max="21" width="10.88"/>
    <col customWidth="1" min="22" max="22" width="8.5"/>
    <col customWidth="1" min="23" max="23" width="7.75"/>
    <col customWidth="1" min="24" max="24" width="3.88"/>
    <col customWidth="1" min="25" max="25" width="7.75"/>
    <col customWidth="1" min="26" max="26" width="3.88"/>
    <col customWidth="1" min="27" max="27" width="7.13"/>
    <col customWidth="1" min="28" max="37" width="3.88"/>
  </cols>
  <sheetData>
    <row r="1">
      <c r="A1" s="1" t="str">
        <f>IFERROR(__xludf.DUMMYFUNCTION("IMPORTRANGE(""1ZPOqQHbu3GgkppWiT-MJmzSSa45xtiJhgLbHBetpC4Q"",""CALCULO1!A1:Q36"")"),"No")</f>
        <v>No</v>
      </c>
      <c r="B1" s="2" t="str">
        <f>IFERROR(__xludf.DUMMYFUNCTION("""COMPUTED_VALUE"""),"ESTUDIANTE")</f>
        <v>ESTUDIANTE</v>
      </c>
      <c r="C1" s="3" t="str">
        <f>IFERROR(__xludf.DUMMYFUNCTION("""COMPUTED_VALUE"""),"P1")</f>
        <v>P1</v>
      </c>
      <c r="D1" s="3" t="str">
        <f>IFERROR(__xludf.DUMMYFUNCTION("""COMPUTED_VALUE"""),"P2")</f>
        <v>P2</v>
      </c>
      <c r="E1" s="3" t="str">
        <f>IFERROR(__xludf.DUMMYFUNCTION("""COMPUTED_VALUE"""),"P3")</f>
        <v>P3</v>
      </c>
      <c r="F1" s="3" t="str">
        <f>IFERROR(__xludf.DUMMYFUNCTION("""COMPUTED_VALUE"""),"P4")</f>
        <v>P4</v>
      </c>
      <c r="G1" s="4" t="str">
        <f>IFERROR(__xludf.DUMMYFUNCTION("""COMPUTED_VALUE"""),"TUTOR")</f>
        <v>TUTOR</v>
      </c>
      <c r="H1" s="6" t="str">
        <f>IFERROR(__xludf.DUMMYFUNCTION("""COMPUTED_VALUE"""),"ALEKS")</f>
        <v>ALEKS</v>
      </c>
      <c r="I1" s="1" t="str">
        <f>IFERROR(__xludf.DUMMYFUNCTION("""COMPUTED_VALUE"""),"Q1")</f>
        <v>Q1</v>
      </c>
      <c r="J1" s="1" t="str">
        <f>IFERROR(__xludf.DUMMYFUNCTION("""COMPUTED_VALUE"""),"Q2")</f>
        <v>Q2</v>
      </c>
      <c r="K1" s="1" t="str">
        <f>IFERROR(__xludf.DUMMYFUNCTION("""COMPUTED_VALUE"""),"Q3")</f>
        <v>Q3</v>
      </c>
      <c r="L1" s="1" t="str">
        <f>IFERROR(__xludf.DUMMYFUNCTION("""COMPUTED_VALUE"""),"Ma1")</f>
        <v>Ma1</v>
      </c>
      <c r="M1" s="1" t="str">
        <f>IFERROR(__xludf.DUMMYFUNCTION("""COMPUTED_VALUE"""),"Ma2")</f>
        <v>Ma2</v>
      </c>
      <c r="N1" s="1" t="str">
        <f>IFERROR(__xludf.DUMMYFUNCTION("""COMPUTED_VALUE"""),"Tr1")</f>
        <v>Tr1</v>
      </c>
      <c r="O1" s="1"/>
      <c r="P1" s="7" t="str">
        <f>IFERROR(__xludf.DUMMYFUNCTION("""COMPUTED_VALUE"""),"FINAL")</f>
        <v>FINAL</v>
      </c>
      <c r="Q1" s="1" t="str">
        <f>IFERROR(__xludf.DUMMYFUNCTION("""COMPUTED_VALUE"""),"COD")</f>
        <v>COD</v>
      </c>
      <c r="R1" s="1"/>
      <c r="S1" s="1"/>
      <c r="T1" s="1"/>
      <c r="U1" s="1"/>
      <c r="V1" s="1"/>
      <c r="W1" s="1"/>
      <c r="X1" s="1"/>
      <c r="Y1" s="1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</row>
    <row r="2">
      <c r="A2" s="8">
        <f>IFERROR(__xludf.DUMMYFUNCTION("""COMPUTED_VALUE"""),1.0)</f>
        <v>1</v>
      </c>
      <c r="B2" s="9" t="str">
        <f>IFERROR(__xludf.DUMMYFUNCTION("""COMPUTED_VALUE"""),"ANAYA SEQUEDA MANUEL ESTEVEN")</f>
        <v>ANAYA SEQUEDA MANUEL ESTEVEN</v>
      </c>
      <c r="C2" s="10">
        <f>IFERROR(__xludf.DUMMYFUNCTION("""COMPUTED_VALUE"""),2.5)</f>
        <v>2.5</v>
      </c>
      <c r="D2" s="10"/>
      <c r="E2" s="10"/>
      <c r="F2" s="10"/>
      <c r="G2" s="13"/>
      <c r="H2" s="15">
        <f>IFERROR(__xludf.DUMMYFUNCTION("""COMPUTED_VALUE"""),3.1500000000000004)</f>
        <v>3.15</v>
      </c>
      <c r="I2" s="16">
        <f>IFERROR(__xludf.DUMMYFUNCTION("""COMPUTED_VALUE"""),4.5)</f>
        <v>4.5</v>
      </c>
      <c r="J2" s="8">
        <f>IFERROR(__xludf.DUMMYFUNCTION("""COMPUTED_VALUE"""),0.0)</f>
        <v>0</v>
      </c>
      <c r="K2" s="8">
        <f>IFERROR(__xludf.DUMMYFUNCTION("""COMPUTED_VALUE"""),5.0)</f>
        <v>5</v>
      </c>
      <c r="L2" s="8">
        <f>IFERROR(__xludf.DUMMYFUNCTION("""COMPUTED_VALUE"""),5.0)</f>
        <v>5</v>
      </c>
      <c r="M2" s="8">
        <f>IFERROR(__xludf.DUMMYFUNCTION("""COMPUTED_VALUE"""),4.8500000000000005)</f>
        <v>4.85</v>
      </c>
      <c r="N2" s="8">
        <f>IFERROR(__xludf.DUMMYFUNCTION("""COMPUTED_VALUE"""),5.0)</f>
        <v>5</v>
      </c>
      <c r="O2" s="8"/>
      <c r="P2" s="20">
        <f>IFERROR(__xludf.DUMMYFUNCTION("""COMPUTED_VALUE"""),0.8150000000000001)</f>
        <v>0.815</v>
      </c>
      <c r="Q2" s="16">
        <f>IFERROR(__xludf.DUMMYFUNCTION("""COMPUTED_VALUE"""),2262336.0)</f>
        <v>2262336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>
      <c r="A3" s="8">
        <f>IFERROR(__xludf.DUMMYFUNCTION("""COMPUTED_VALUE"""),2.0)</f>
        <v>2</v>
      </c>
      <c r="B3" s="9" t="str">
        <f>IFERROR(__xludf.DUMMYFUNCTION("""COMPUTED_VALUE"""),"ANGARITA QUINTERO LUISA FERNANDA")</f>
        <v>ANGARITA QUINTERO LUISA FERNANDA</v>
      </c>
      <c r="C3" s="10">
        <f>IFERROR(__xludf.DUMMYFUNCTION("""COMPUTED_VALUE"""),3.7)</f>
        <v>3.7</v>
      </c>
      <c r="D3" s="10"/>
      <c r="E3" s="10"/>
      <c r="F3" s="10"/>
      <c r="G3" s="13"/>
      <c r="H3" s="15">
        <f>IFERROR(__xludf.DUMMYFUNCTION("""COMPUTED_VALUE"""),2.6)</f>
        <v>2.6</v>
      </c>
      <c r="I3" s="16">
        <f>IFERROR(__xludf.DUMMYFUNCTION("""COMPUTED_VALUE"""),5.0)</f>
        <v>5</v>
      </c>
      <c r="J3" s="8">
        <f>IFERROR(__xludf.DUMMYFUNCTION("""COMPUTED_VALUE"""),2.83)</f>
        <v>2.83</v>
      </c>
      <c r="K3" s="8">
        <f>IFERROR(__xludf.DUMMYFUNCTION("""COMPUTED_VALUE"""),0.0)</f>
        <v>0</v>
      </c>
      <c r="L3" s="8">
        <f>IFERROR(__xludf.DUMMYFUNCTION("""COMPUTED_VALUE"""),3.7)</f>
        <v>3.7</v>
      </c>
      <c r="M3" s="8">
        <f>IFERROR(__xludf.DUMMYFUNCTION("""COMPUTED_VALUE"""),1.9500000000000002)</f>
        <v>1.95</v>
      </c>
      <c r="N3" s="8">
        <f>IFERROR(__xludf.DUMMYFUNCTION("""COMPUTED_VALUE"""),5.0)</f>
        <v>5</v>
      </c>
      <c r="O3" s="8"/>
      <c r="P3" s="20">
        <f>IFERROR(__xludf.DUMMYFUNCTION("""COMPUTED_VALUE"""),1.0)</f>
        <v>1</v>
      </c>
      <c r="Q3" s="16">
        <f>IFERROR(__xludf.DUMMYFUNCTION("""COMPUTED_VALUE"""),2262712.0)</f>
        <v>2262712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</row>
    <row r="4">
      <c r="A4" s="8">
        <f>IFERROR(__xludf.DUMMYFUNCTION("""COMPUTED_VALUE"""),3.0)</f>
        <v>3</v>
      </c>
      <c r="B4" s="9" t="str">
        <f>IFERROR(__xludf.DUMMYFUNCTION("""COMPUTED_VALUE"""),"ASPRILLA VELANDIA ALEX SANTIAGO")</f>
        <v>ASPRILLA VELANDIA ALEX SANTIAGO</v>
      </c>
      <c r="C4" s="10">
        <f>IFERROR(__xludf.DUMMYFUNCTION("""COMPUTED_VALUE"""),3.5)</f>
        <v>3.5</v>
      </c>
      <c r="D4" s="10"/>
      <c r="E4" s="10"/>
      <c r="F4" s="10"/>
      <c r="G4" s="13"/>
      <c r="H4" s="15">
        <f>IFERROR(__xludf.DUMMYFUNCTION("""COMPUTED_VALUE"""),4.55)</f>
        <v>4.55</v>
      </c>
      <c r="I4" s="16">
        <f>IFERROR(__xludf.DUMMYFUNCTION("""COMPUTED_VALUE"""),5.0)</f>
        <v>5</v>
      </c>
      <c r="J4" s="8">
        <f>IFERROR(__xludf.DUMMYFUNCTION("""COMPUTED_VALUE"""),4.17)</f>
        <v>4.17</v>
      </c>
      <c r="K4" s="8">
        <f>IFERROR(__xludf.DUMMYFUNCTION("""COMPUTED_VALUE"""),4.45)</f>
        <v>4.45</v>
      </c>
      <c r="L4" s="8">
        <f>IFERROR(__xludf.DUMMYFUNCTION("""COMPUTED_VALUE"""),5.0)</f>
        <v>5</v>
      </c>
      <c r="M4" s="8">
        <f>IFERROR(__xludf.DUMMYFUNCTION("""COMPUTED_VALUE"""),5.0)</f>
        <v>5</v>
      </c>
      <c r="N4" s="8">
        <f>IFERROR(__xludf.DUMMYFUNCTION("""COMPUTED_VALUE"""),5.0)</f>
        <v>5</v>
      </c>
      <c r="O4" s="8"/>
      <c r="P4" s="20">
        <f>IFERROR(__xludf.DUMMYFUNCTION("""COMPUTED_VALUE"""),1.155)</f>
        <v>1.155</v>
      </c>
      <c r="Q4" s="16">
        <f>IFERROR(__xludf.DUMMYFUNCTION("""COMPUTED_VALUE"""),2262739.0)</f>
        <v>2262739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>
      <c r="A5" s="8">
        <f>IFERROR(__xludf.DUMMYFUNCTION("""COMPUTED_VALUE"""),4.0)</f>
        <v>4</v>
      </c>
      <c r="B5" s="9" t="str">
        <f>IFERROR(__xludf.DUMMYFUNCTION("""COMPUTED_VALUE"""),"BARRERA LEON KEVIN ENRIQUE")</f>
        <v>BARRERA LEON KEVIN ENRIQUE</v>
      </c>
      <c r="C5" s="10">
        <f>IFERROR(__xludf.DUMMYFUNCTION("""COMPUTED_VALUE"""),5.0)</f>
        <v>5</v>
      </c>
      <c r="D5" s="10"/>
      <c r="E5" s="10"/>
      <c r="F5" s="10"/>
      <c r="G5" s="13"/>
      <c r="H5" s="15">
        <f>IFERROR(__xludf.DUMMYFUNCTION("""COMPUTED_VALUE"""),4.800000000000001)</f>
        <v>4.8</v>
      </c>
      <c r="I5" s="16">
        <f>IFERROR(__xludf.DUMMYFUNCTION("""COMPUTED_VALUE"""),5.0)</f>
        <v>5</v>
      </c>
      <c r="J5" s="8">
        <f>IFERROR(__xludf.DUMMYFUNCTION("""COMPUTED_VALUE"""),4.67)</f>
        <v>4.67</v>
      </c>
      <c r="K5" s="8">
        <f>IFERROR(__xludf.DUMMYFUNCTION("""COMPUTED_VALUE"""),4.65)</f>
        <v>4.65</v>
      </c>
      <c r="L5" s="8">
        <f>IFERROR(__xludf.DUMMYFUNCTION("""COMPUTED_VALUE"""),0.30000000000000004)</f>
        <v>0.3</v>
      </c>
      <c r="M5" s="8">
        <f>IFERROR(__xludf.DUMMYFUNCTION("""COMPUTED_VALUE"""),0.0)</f>
        <v>0</v>
      </c>
      <c r="N5" s="8">
        <f>IFERROR(__xludf.DUMMYFUNCTION("""COMPUTED_VALUE"""),5.0)</f>
        <v>5</v>
      </c>
      <c r="O5" s="8"/>
      <c r="P5" s="20">
        <f>IFERROR(__xludf.DUMMYFUNCTION("""COMPUTED_VALUE"""),1.48)</f>
        <v>1.48</v>
      </c>
      <c r="Q5" s="16">
        <f>IFERROR(__xludf.DUMMYFUNCTION("""COMPUTED_VALUE"""),2262501.0)</f>
        <v>2262501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</row>
    <row r="6">
      <c r="A6" s="8">
        <f>IFERROR(__xludf.DUMMYFUNCTION("""COMPUTED_VALUE"""),5.0)</f>
        <v>5</v>
      </c>
      <c r="B6" s="9" t="str">
        <f>IFERROR(__xludf.DUMMYFUNCTION("""COMPUTED_VALUE"""),"BENITEZ ARIAS ISABELLA VALENTINA")</f>
        <v>BENITEZ ARIAS ISABELLA VALENTINA</v>
      </c>
      <c r="C6" s="10">
        <f>IFERROR(__xludf.DUMMYFUNCTION("""COMPUTED_VALUE"""),3.2)</f>
        <v>3.2</v>
      </c>
      <c r="D6" s="10"/>
      <c r="E6" s="10"/>
      <c r="F6" s="10"/>
      <c r="G6" s="13"/>
      <c r="H6" s="15">
        <f>IFERROR(__xludf.DUMMYFUNCTION("""COMPUTED_VALUE"""),4.2)</f>
        <v>4.2</v>
      </c>
      <c r="I6" s="16">
        <f>IFERROR(__xludf.DUMMYFUNCTION("""COMPUTED_VALUE"""),4.67)</f>
        <v>4.67</v>
      </c>
      <c r="J6" s="8">
        <f>IFERROR(__xludf.DUMMYFUNCTION("""COMPUTED_VALUE"""),4.08)</f>
        <v>4.08</v>
      </c>
      <c r="K6" s="8">
        <f>IFERROR(__xludf.DUMMYFUNCTION("""COMPUTED_VALUE"""),3.9000000000000004)</f>
        <v>3.9</v>
      </c>
      <c r="L6" s="8">
        <f>IFERROR(__xludf.DUMMYFUNCTION("""COMPUTED_VALUE"""),5.0)</f>
        <v>5</v>
      </c>
      <c r="M6" s="8">
        <f>IFERROR(__xludf.DUMMYFUNCTION("""COMPUTED_VALUE"""),3.1500000000000004)</f>
        <v>3.15</v>
      </c>
      <c r="N6" s="8">
        <f>IFERROR(__xludf.DUMMYFUNCTION("""COMPUTED_VALUE"""),5.0)</f>
        <v>5</v>
      </c>
      <c r="O6" s="8"/>
      <c r="P6" s="20">
        <f>IFERROR(__xludf.DUMMYFUNCTION("""COMPUTED_VALUE"""),1.06)</f>
        <v>1.06</v>
      </c>
      <c r="Q6" s="16">
        <f>IFERROR(__xludf.DUMMYFUNCTION("""COMPUTED_VALUE"""),2262759.0)</f>
        <v>2262759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</row>
    <row r="7">
      <c r="A7" s="8">
        <f>IFERROR(__xludf.DUMMYFUNCTION("""COMPUTED_VALUE"""),6.0)</f>
        <v>6</v>
      </c>
      <c r="B7" s="9" t="str">
        <f>IFERROR(__xludf.DUMMYFUNCTION("""COMPUTED_VALUE"""),"BERMUDEZ ANAYA DANIEL MATEO")</f>
        <v>BERMUDEZ ANAYA DANIEL MATEO</v>
      </c>
      <c r="C7" s="10">
        <f>IFERROR(__xludf.DUMMYFUNCTION("""COMPUTED_VALUE"""),5.0)</f>
        <v>5</v>
      </c>
      <c r="D7" s="10"/>
      <c r="E7" s="10"/>
      <c r="F7" s="10"/>
      <c r="G7" s="13"/>
      <c r="H7" s="15">
        <f>IFERROR(__xludf.DUMMYFUNCTION("""COMPUTED_VALUE"""),4.05)</f>
        <v>4.05</v>
      </c>
      <c r="I7" s="16">
        <f>IFERROR(__xludf.DUMMYFUNCTION("""COMPUTED_VALUE"""),3.67)</f>
        <v>3.67</v>
      </c>
      <c r="J7" s="8">
        <f>IFERROR(__xludf.DUMMYFUNCTION("""COMPUTED_VALUE"""),4.17)</f>
        <v>4.17</v>
      </c>
      <c r="K7" s="8">
        <f>IFERROR(__xludf.DUMMYFUNCTION("""COMPUTED_VALUE"""),4.25)</f>
        <v>4.25</v>
      </c>
      <c r="L7" s="8">
        <f>IFERROR(__xludf.DUMMYFUNCTION("""COMPUTED_VALUE"""),2.8000000000000003)</f>
        <v>2.8</v>
      </c>
      <c r="M7" s="8">
        <f>IFERROR(__xludf.DUMMYFUNCTION("""COMPUTED_VALUE"""),0.9)</f>
        <v>0.9</v>
      </c>
      <c r="N7" s="8">
        <f>IFERROR(__xludf.DUMMYFUNCTION("""COMPUTED_VALUE"""),5.0)</f>
        <v>5</v>
      </c>
      <c r="O7" s="8"/>
      <c r="P7" s="20">
        <f>IFERROR(__xludf.DUMMYFUNCTION("""COMPUTED_VALUE"""),1.405)</f>
        <v>1.405</v>
      </c>
      <c r="Q7" s="16">
        <f>IFERROR(__xludf.DUMMYFUNCTION("""COMPUTED_VALUE"""),2260624.0)</f>
        <v>2260624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</row>
    <row r="8">
      <c r="A8" s="8">
        <f>IFERROR(__xludf.DUMMYFUNCTION("""COMPUTED_VALUE"""),7.0)</f>
        <v>7</v>
      </c>
      <c r="B8" s="9" t="str">
        <f>IFERROR(__xludf.DUMMYFUNCTION("""COMPUTED_VALUE"""),"BERNAL GOMEZ LISETH JULIANA")</f>
        <v>BERNAL GOMEZ LISETH JULIANA</v>
      </c>
      <c r="C8" s="10">
        <f>IFERROR(__xludf.DUMMYFUNCTION("""COMPUTED_VALUE"""),5.0)</f>
        <v>5</v>
      </c>
      <c r="D8" s="10"/>
      <c r="E8" s="10"/>
      <c r="F8" s="10"/>
      <c r="G8" s="13"/>
      <c r="H8" s="15">
        <f>IFERROR(__xludf.DUMMYFUNCTION("""COMPUTED_VALUE"""),4.1000000000000005)</f>
        <v>4.1</v>
      </c>
      <c r="I8" s="16">
        <f>IFERROR(__xludf.DUMMYFUNCTION("""COMPUTED_VALUE"""),5.0)</f>
        <v>5</v>
      </c>
      <c r="J8" s="8">
        <f>IFERROR(__xludf.DUMMYFUNCTION("""COMPUTED_VALUE"""),4.92)</f>
        <v>4.92</v>
      </c>
      <c r="K8" s="8">
        <f>IFERROR(__xludf.DUMMYFUNCTION("""COMPUTED_VALUE"""),2.35)</f>
        <v>2.35</v>
      </c>
      <c r="L8" s="8">
        <f>IFERROR(__xludf.DUMMYFUNCTION("""COMPUTED_VALUE"""),5.0)</f>
        <v>5</v>
      </c>
      <c r="M8" s="8">
        <f>IFERROR(__xludf.DUMMYFUNCTION("""COMPUTED_VALUE"""),5.0)</f>
        <v>5</v>
      </c>
      <c r="N8" s="8">
        <f>IFERROR(__xludf.DUMMYFUNCTION("""COMPUTED_VALUE"""),5.0)</f>
        <v>5</v>
      </c>
      <c r="O8" s="8"/>
      <c r="P8" s="20">
        <f>IFERROR(__xludf.DUMMYFUNCTION("""COMPUTED_VALUE"""),1.4100000000000001)</f>
        <v>1.41</v>
      </c>
      <c r="Q8" s="16">
        <f>IFERROR(__xludf.DUMMYFUNCTION("""COMPUTED_VALUE"""),2262444.0)</f>
        <v>2262444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</row>
    <row r="9">
      <c r="A9" s="8">
        <f>IFERROR(__xludf.DUMMYFUNCTION("""COMPUTED_VALUE"""),8.0)</f>
        <v>8</v>
      </c>
      <c r="B9" s="9" t="str">
        <f>IFERROR(__xludf.DUMMYFUNCTION("""COMPUTED_VALUE"""),"BOLIVAR BARRERA ROMI PAOLA")</f>
        <v>BOLIVAR BARRERA ROMI PAOLA</v>
      </c>
      <c r="C9" s="10">
        <f>IFERROR(__xludf.DUMMYFUNCTION("""COMPUTED_VALUE"""),4.7)</f>
        <v>4.7</v>
      </c>
      <c r="D9" s="10"/>
      <c r="E9" s="10"/>
      <c r="F9" s="10"/>
      <c r="G9" s="13"/>
      <c r="H9" s="15">
        <f>IFERROR(__xludf.DUMMYFUNCTION("""COMPUTED_VALUE"""),3.1500000000000004)</f>
        <v>3.15</v>
      </c>
      <c r="I9" s="16">
        <f>IFERROR(__xludf.DUMMYFUNCTION("""COMPUTED_VALUE"""),4.67)</f>
        <v>4.67</v>
      </c>
      <c r="J9" s="8">
        <f>IFERROR(__xludf.DUMMYFUNCTION("""COMPUTED_VALUE"""),4.75)</f>
        <v>4.75</v>
      </c>
      <c r="K9" s="8">
        <f>IFERROR(__xludf.DUMMYFUNCTION("""COMPUTED_VALUE"""),0.0)</f>
        <v>0</v>
      </c>
      <c r="L9" s="8">
        <f>IFERROR(__xludf.DUMMYFUNCTION("""COMPUTED_VALUE"""),5.0)</f>
        <v>5</v>
      </c>
      <c r="M9" s="8">
        <f>IFERROR(__xludf.DUMMYFUNCTION("""COMPUTED_VALUE"""),4.25)</f>
        <v>4.25</v>
      </c>
      <c r="N9" s="8">
        <f>IFERROR(__xludf.DUMMYFUNCTION("""COMPUTED_VALUE"""),5.0)</f>
        <v>5</v>
      </c>
      <c r="O9" s="8"/>
      <c r="P9" s="20">
        <f>IFERROR(__xludf.DUMMYFUNCTION("""COMPUTED_VALUE"""),1.2550000000000001)</f>
        <v>1.255</v>
      </c>
      <c r="Q9" s="16">
        <f>IFERROR(__xludf.DUMMYFUNCTION("""COMPUTED_VALUE"""),2262438.0)</f>
        <v>2262438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</row>
    <row r="10">
      <c r="A10" s="8">
        <f>IFERROR(__xludf.DUMMYFUNCTION("""COMPUTED_VALUE"""),9.0)</f>
        <v>9</v>
      </c>
      <c r="B10" s="9" t="str">
        <f>IFERROR(__xludf.DUMMYFUNCTION("""COMPUTED_VALUE"""),"CAMPOS RODRIGUEZ CAROL MARCELA")</f>
        <v>CAMPOS RODRIGUEZ CAROL MARCELA</v>
      </c>
      <c r="C10" s="10">
        <f>IFERROR(__xludf.DUMMYFUNCTION("""COMPUTED_VALUE"""),5.0)</f>
        <v>5</v>
      </c>
      <c r="D10" s="10"/>
      <c r="E10" s="10"/>
      <c r="F10" s="10"/>
      <c r="G10" s="13"/>
      <c r="H10" s="15">
        <f>IFERROR(__xludf.DUMMYFUNCTION("""COMPUTED_VALUE"""),4.45)</f>
        <v>4.45</v>
      </c>
      <c r="I10" s="16">
        <f>IFERROR(__xludf.DUMMYFUNCTION("""COMPUTED_VALUE"""),5.0)</f>
        <v>5</v>
      </c>
      <c r="J10" s="8">
        <f>IFERROR(__xludf.DUMMYFUNCTION("""COMPUTED_VALUE"""),4.83)</f>
        <v>4.83</v>
      </c>
      <c r="K10" s="8">
        <f>IFERROR(__xludf.DUMMYFUNCTION("""COMPUTED_VALUE"""),3.6)</f>
        <v>3.6</v>
      </c>
      <c r="L10" s="8">
        <f>IFERROR(__xludf.DUMMYFUNCTION("""COMPUTED_VALUE"""),5.0)</f>
        <v>5</v>
      </c>
      <c r="M10" s="8">
        <f>IFERROR(__xludf.DUMMYFUNCTION("""COMPUTED_VALUE"""),4.95)</f>
        <v>4.95</v>
      </c>
      <c r="N10" s="8">
        <f>IFERROR(__xludf.DUMMYFUNCTION("""COMPUTED_VALUE"""),5.0)</f>
        <v>5</v>
      </c>
      <c r="O10" s="8"/>
      <c r="P10" s="20">
        <f>IFERROR(__xludf.DUMMYFUNCTION("""COMPUTED_VALUE"""),1.445)</f>
        <v>1.445</v>
      </c>
      <c r="Q10" s="16">
        <f>IFERROR(__xludf.DUMMYFUNCTION("""COMPUTED_VALUE"""),2262746.0)</f>
        <v>2262746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</row>
    <row r="11">
      <c r="A11" s="8">
        <f>IFERROR(__xludf.DUMMYFUNCTION("""COMPUTED_VALUE"""),10.0)</f>
        <v>10</v>
      </c>
      <c r="B11" s="9" t="str">
        <f>IFERROR(__xludf.DUMMYFUNCTION("""COMPUTED_VALUE"""),"CUBILLOS CARDENAS MELANY ZARAY")</f>
        <v>CUBILLOS CARDENAS MELANY ZARAY</v>
      </c>
      <c r="C11" s="10">
        <f>IFERROR(__xludf.DUMMYFUNCTION("""COMPUTED_VALUE"""),3.8)</f>
        <v>3.8</v>
      </c>
      <c r="D11" s="10"/>
      <c r="E11" s="10"/>
      <c r="F11" s="10"/>
      <c r="G11" s="13"/>
      <c r="H11" s="15">
        <f>IFERROR(__xludf.DUMMYFUNCTION("""COMPUTED_VALUE"""),4.55)</f>
        <v>4.55</v>
      </c>
      <c r="I11" s="16">
        <f>IFERROR(__xludf.DUMMYFUNCTION("""COMPUTED_VALUE"""),4.67)</f>
        <v>4.67</v>
      </c>
      <c r="J11" s="8">
        <f>IFERROR(__xludf.DUMMYFUNCTION("""COMPUTED_VALUE"""),4.42)</f>
        <v>4.42</v>
      </c>
      <c r="K11" s="8">
        <f>IFERROR(__xludf.DUMMYFUNCTION("""COMPUTED_VALUE"""),4.5)</f>
        <v>4.5</v>
      </c>
      <c r="L11" s="8">
        <f>IFERROR(__xludf.DUMMYFUNCTION("""COMPUTED_VALUE"""),5.0)</f>
        <v>5</v>
      </c>
      <c r="M11" s="8">
        <f>IFERROR(__xludf.DUMMYFUNCTION("""COMPUTED_VALUE"""),5.0)</f>
        <v>5</v>
      </c>
      <c r="N11" s="8">
        <f>IFERROR(__xludf.DUMMYFUNCTION("""COMPUTED_VALUE"""),5.0)</f>
        <v>5</v>
      </c>
      <c r="O11" s="8"/>
      <c r="P11" s="20">
        <f>IFERROR(__xludf.DUMMYFUNCTION("""COMPUTED_VALUE"""),1.215)</f>
        <v>1.215</v>
      </c>
      <c r="Q11" s="16">
        <f>IFERROR(__xludf.DUMMYFUNCTION("""COMPUTED_VALUE"""),2262454.0)</f>
        <v>2262454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</row>
    <row r="12">
      <c r="A12" s="8">
        <f>IFERROR(__xludf.DUMMYFUNCTION("""COMPUTED_VALUE"""),11.0)</f>
        <v>11</v>
      </c>
      <c r="B12" s="9" t="str">
        <f>IFERROR(__xludf.DUMMYFUNCTION("""COMPUTED_VALUE"""),"DIAZ BLANCO JUAN JOSE")</f>
        <v>DIAZ BLANCO JUAN JOSE</v>
      </c>
      <c r="C12" s="10">
        <f>IFERROR(__xludf.DUMMYFUNCTION("""COMPUTED_VALUE"""),3.9)</f>
        <v>3.9</v>
      </c>
      <c r="D12" s="10"/>
      <c r="E12" s="10"/>
      <c r="F12" s="10"/>
      <c r="G12" s="13"/>
      <c r="H12" s="15">
        <f>IFERROR(__xludf.DUMMYFUNCTION("""COMPUTED_VALUE"""),4.7)</f>
        <v>4.7</v>
      </c>
      <c r="I12" s="16">
        <f>IFERROR(__xludf.DUMMYFUNCTION("""COMPUTED_VALUE"""),5.0)</f>
        <v>5</v>
      </c>
      <c r="J12" s="8">
        <f>IFERROR(__xludf.DUMMYFUNCTION("""COMPUTED_VALUE"""),5.0)</f>
        <v>5</v>
      </c>
      <c r="K12" s="8">
        <f>IFERROR(__xludf.DUMMYFUNCTION("""COMPUTED_VALUE"""),4.15)</f>
        <v>4.15</v>
      </c>
      <c r="L12" s="8">
        <f>IFERROR(__xludf.DUMMYFUNCTION("""COMPUTED_VALUE"""),5.0)</f>
        <v>5</v>
      </c>
      <c r="M12" s="8">
        <f>IFERROR(__xludf.DUMMYFUNCTION("""COMPUTED_VALUE"""),3.6)</f>
        <v>3.6</v>
      </c>
      <c r="N12" s="8">
        <f>IFERROR(__xludf.DUMMYFUNCTION("""COMPUTED_VALUE"""),5.0)</f>
        <v>5</v>
      </c>
      <c r="O12" s="8"/>
      <c r="P12" s="20">
        <f>IFERROR(__xludf.DUMMYFUNCTION("""COMPUTED_VALUE"""),1.25)</f>
        <v>1.25</v>
      </c>
      <c r="Q12" s="16">
        <f>IFERROR(__xludf.DUMMYFUNCTION("""COMPUTED_VALUE"""),2263866.0)</f>
        <v>2263866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</row>
    <row r="13">
      <c r="A13" s="8">
        <f>IFERROR(__xludf.DUMMYFUNCTION("""COMPUTED_VALUE"""),12.0)</f>
        <v>12</v>
      </c>
      <c r="B13" s="9" t="str">
        <f>IFERROR(__xludf.DUMMYFUNCTION("""COMPUTED_VALUE"""),"FIERRO VILLANOVA SERGIO ANDRES")</f>
        <v>FIERRO VILLANOVA SERGIO ANDRES</v>
      </c>
      <c r="C13" s="10">
        <f>IFERROR(__xludf.DUMMYFUNCTION("""COMPUTED_VALUE"""),4.4)</f>
        <v>4.4</v>
      </c>
      <c r="D13" s="10"/>
      <c r="E13" s="10"/>
      <c r="F13" s="10"/>
      <c r="G13" s="13"/>
      <c r="H13" s="15">
        <f>IFERROR(__xludf.DUMMYFUNCTION("""COMPUTED_VALUE"""),4.1000000000000005)</f>
        <v>4.1</v>
      </c>
      <c r="I13" s="16">
        <f>IFERROR(__xludf.DUMMYFUNCTION("""COMPUTED_VALUE"""),3.67)</f>
        <v>3.67</v>
      </c>
      <c r="J13" s="8">
        <f>IFERROR(__xludf.DUMMYFUNCTION("""COMPUTED_VALUE"""),4.58)</f>
        <v>4.58</v>
      </c>
      <c r="K13" s="8">
        <f>IFERROR(__xludf.DUMMYFUNCTION("""COMPUTED_VALUE"""),4.1000000000000005)</f>
        <v>4.1</v>
      </c>
      <c r="L13" s="8">
        <f>IFERROR(__xludf.DUMMYFUNCTION("""COMPUTED_VALUE"""),5.0)</f>
        <v>5</v>
      </c>
      <c r="M13" s="8">
        <f>IFERROR(__xludf.DUMMYFUNCTION("""COMPUTED_VALUE"""),4.95)</f>
        <v>4.95</v>
      </c>
      <c r="N13" s="8">
        <f>IFERROR(__xludf.DUMMYFUNCTION("""COMPUTED_VALUE"""),5.0)</f>
        <v>5</v>
      </c>
      <c r="O13" s="8"/>
      <c r="P13" s="20">
        <f>IFERROR(__xludf.DUMMYFUNCTION("""COMPUTED_VALUE"""),1.2900000000000003)</f>
        <v>1.29</v>
      </c>
      <c r="Q13" s="16">
        <f>IFERROR(__xludf.DUMMYFUNCTION("""COMPUTED_VALUE"""),2262973.0)</f>
        <v>2262973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</row>
    <row r="14">
      <c r="A14" s="8">
        <f>IFERROR(__xludf.DUMMYFUNCTION("""COMPUTED_VALUE"""),13.0)</f>
        <v>13</v>
      </c>
      <c r="B14" s="9" t="str">
        <f>IFERROR(__xludf.DUMMYFUNCTION("""COMPUTED_VALUE"""),"FORERO ROZO ANA VALENTINA")</f>
        <v>FORERO ROZO ANA VALENTINA</v>
      </c>
      <c r="C14" s="10">
        <f>IFERROR(__xludf.DUMMYFUNCTION("""COMPUTED_VALUE"""),3.2)</f>
        <v>3.2</v>
      </c>
      <c r="D14" s="10"/>
      <c r="E14" s="10"/>
      <c r="F14" s="10"/>
      <c r="G14" s="13"/>
      <c r="H14" s="15">
        <f>IFERROR(__xludf.DUMMYFUNCTION("""COMPUTED_VALUE"""),4.0)</f>
        <v>4</v>
      </c>
      <c r="I14" s="16">
        <f>IFERROR(__xludf.DUMMYFUNCTION("""COMPUTED_VALUE"""),4.33)</f>
        <v>4.33</v>
      </c>
      <c r="J14" s="8">
        <f>IFERROR(__xludf.DUMMYFUNCTION("""COMPUTED_VALUE"""),4.33)</f>
        <v>4.33</v>
      </c>
      <c r="K14" s="8">
        <f>IFERROR(__xludf.DUMMYFUNCTION("""COMPUTED_VALUE"""),3.35)</f>
        <v>3.35</v>
      </c>
      <c r="L14" s="8">
        <f>IFERROR(__xludf.DUMMYFUNCTION("""COMPUTED_VALUE"""),5.0)</f>
        <v>5</v>
      </c>
      <c r="M14" s="8">
        <f>IFERROR(__xludf.DUMMYFUNCTION("""COMPUTED_VALUE"""),4.05)</f>
        <v>4.05</v>
      </c>
      <c r="N14" s="8">
        <f>IFERROR(__xludf.DUMMYFUNCTION("""COMPUTED_VALUE"""),5.0)</f>
        <v>5</v>
      </c>
      <c r="O14" s="8"/>
      <c r="P14" s="20">
        <f>IFERROR(__xludf.DUMMYFUNCTION("""COMPUTED_VALUE"""),1.04)</f>
        <v>1.04</v>
      </c>
      <c r="Q14" s="16">
        <f>IFERROR(__xludf.DUMMYFUNCTION("""COMPUTED_VALUE"""),2262338.0)</f>
        <v>2262338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</row>
    <row r="15">
      <c r="A15" s="8">
        <f>IFERROR(__xludf.DUMMYFUNCTION("""COMPUTED_VALUE"""),14.0)</f>
        <v>14</v>
      </c>
      <c r="B15" s="9" t="str">
        <f>IFERROR(__xludf.DUMMYFUNCTION("""COMPUTED_VALUE"""),"GALLO RODRIGUEZ DANNA VALENTINA")</f>
        <v>GALLO RODRIGUEZ DANNA VALENTINA</v>
      </c>
      <c r="C15" s="10">
        <f>IFERROR(__xludf.DUMMYFUNCTION("""COMPUTED_VALUE"""),3.8)</f>
        <v>3.8</v>
      </c>
      <c r="D15" s="10"/>
      <c r="E15" s="10"/>
      <c r="F15" s="10"/>
      <c r="G15" s="13"/>
      <c r="H15" s="15">
        <f>IFERROR(__xludf.DUMMYFUNCTION("""COMPUTED_VALUE"""),3.75)</f>
        <v>3.75</v>
      </c>
      <c r="I15" s="16">
        <f>IFERROR(__xludf.DUMMYFUNCTION("""COMPUTED_VALUE"""),4.67)</f>
        <v>4.67</v>
      </c>
      <c r="J15" s="8">
        <f>IFERROR(__xludf.DUMMYFUNCTION("""COMPUTED_VALUE"""),3.42)</f>
        <v>3.42</v>
      </c>
      <c r="K15" s="8">
        <f>IFERROR(__xludf.DUMMYFUNCTION("""COMPUTED_VALUE"""),3.2)</f>
        <v>3.2</v>
      </c>
      <c r="L15" s="8">
        <f>IFERROR(__xludf.DUMMYFUNCTION("""COMPUTED_VALUE"""),5.0)</f>
        <v>5</v>
      </c>
      <c r="M15" s="8">
        <f>IFERROR(__xludf.DUMMYFUNCTION("""COMPUTED_VALUE"""),5.0)</f>
        <v>5</v>
      </c>
      <c r="N15" s="8">
        <f>IFERROR(__xludf.DUMMYFUNCTION("""COMPUTED_VALUE"""),5.0)</f>
        <v>5</v>
      </c>
      <c r="O15" s="8"/>
      <c r="P15" s="20">
        <f>IFERROR(__xludf.DUMMYFUNCTION("""COMPUTED_VALUE"""),1.135)</f>
        <v>1.135</v>
      </c>
      <c r="Q15" s="16">
        <f>IFERROR(__xludf.DUMMYFUNCTION("""COMPUTED_VALUE"""),2262977.0)</f>
        <v>2262977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</row>
    <row r="16">
      <c r="A16" s="8">
        <f>IFERROR(__xludf.DUMMYFUNCTION("""COMPUTED_VALUE"""),15.0)</f>
        <v>15</v>
      </c>
      <c r="B16" s="9" t="str">
        <f>IFERROR(__xludf.DUMMYFUNCTION("""COMPUTED_VALUE"""),"HEREDIA RODRIGUEZ YEFERSON FERNANDO")</f>
        <v>HEREDIA RODRIGUEZ YEFERSON FERNANDO</v>
      </c>
      <c r="C16" s="10">
        <f>IFERROR(__xludf.DUMMYFUNCTION("""COMPUTED_VALUE"""),4.1)</f>
        <v>4.1</v>
      </c>
      <c r="D16" s="10"/>
      <c r="E16" s="10"/>
      <c r="F16" s="10"/>
      <c r="G16" s="13"/>
      <c r="H16" s="15">
        <f>IFERROR(__xludf.DUMMYFUNCTION("""COMPUTED_VALUE"""),0.0)</f>
        <v>0</v>
      </c>
      <c r="I16" s="16">
        <f>IFERROR(__xludf.DUMMYFUNCTION("""COMPUTED_VALUE"""),0.0)</f>
        <v>0</v>
      </c>
      <c r="J16" s="8">
        <f>IFERROR(__xludf.DUMMYFUNCTION("""COMPUTED_VALUE"""),4.44)</f>
        <v>4.44</v>
      </c>
      <c r="K16" s="8">
        <f>IFERROR(__xludf.DUMMYFUNCTION("""COMPUTED_VALUE"""),0.0)</f>
        <v>0</v>
      </c>
      <c r="L16" s="8">
        <f>IFERROR(__xludf.DUMMYFUNCTION("""COMPUTED_VALUE"""),5.0)</f>
        <v>5</v>
      </c>
      <c r="M16" s="8">
        <f>IFERROR(__xludf.DUMMYFUNCTION("""COMPUTED_VALUE"""),1.05)</f>
        <v>1.05</v>
      </c>
      <c r="N16" s="8">
        <f>IFERROR(__xludf.DUMMYFUNCTION("""COMPUTED_VALUE"""),5.0)</f>
        <v>5</v>
      </c>
      <c r="O16" s="8"/>
      <c r="P16" s="20">
        <f>IFERROR(__xludf.DUMMYFUNCTION("""COMPUTED_VALUE"""),0.82)</f>
        <v>0.82</v>
      </c>
      <c r="Q16" s="16">
        <f>IFERROR(__xludf.DUMMYFUNCTION("""COMPUTED_VALUE"""),2262574.0)</f>
        <v>2262574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</row>
    <row r="17">
      <c r="A17" s="8">
        <f>IFERROR(__xludf.DUMMYFUNCTION("""COMPUTED_VALUE"""),16.0)</f>
        <v>16</v>
      </c>
      <c r="B17" s="9" t="str">
        <f>IFERROR(__xludf.DUMMYFUNCTION("""COMPUTED_VALUE"""),"HERRERA HERNANDEZ NATALIE VALERIA")</f>
        <v>HERRERA HERNANDEZ NATALIE VALERIA</v>
      </c>
      <c r="C17" s="10">
        <f>IFERROR(__xludf.DUMMYFUNCTION("""COMPUTED_VALUE"""),5.0)</f>
        <v>5</v>
      </c>
      <c r="D17" s="10"/>
      <c r="E17" s="10"/>
      <c r="F17" s="10"/>
      <c r="G17" s="13"/>
      <c r="H17" s="15">
        <f>IFERROR(__xludf.DUMMYFUNCTION("""COMPUTED_VALUE"""),1.5)</f>
        <v>1.5</v>
      </c>
      <c r="I17" s="16">
        <f>IFERROR(__xludf.DUMMYFUNCTION("""COMPUTED_VALUE"""),3.67)</f>
        <v>3.67</v>
      </c>
      <c r="J17" s="8">
        <f>IFERROR(__xludf.DUMMYFUNCTION("""COMPUTED_VALUE"""),3.75)</f>
        <v>3.75</v>
      </c>
      <c r="K17" s="8">
        <f>IFERROR(__xludf.DUMMYFUNCTION("""COMPUTED_VALUE"""),0.0)</f>
        <v>0</v>
      </c>
      <c r="L17" s="8">
        <f>IFERROR(__xludf.DUMMYFUNCTION("""COMPUTED_VALUE"""),4.1000000000000005)</f>
        <v>4.1</v>
      </c>
      <c r="M17" s="8">
        <f>IFERROR(__xludf.DUMMYFUNCTION("""COMPUTED_VALUE"""),5.0)</f>
        <v>5</v>
      </c>
      <c r="N17" s="8">
        <f>IFERROR(__xludf.DUMMYFUNCTION("""COMPUTED_VALUE"""),5.0)</f>
        <v>5</v>
      </c>
      <c r="O17" s="8"/>
      <c r="P17" s="20">
        <f>IFERROR(__xludf.DUMMYFUNCTION("""COMPUTED_VALUE"""),1.15)</f>
        <v>1.15</v>
      </c>
      <c r="Q17" s="16">
        <f>IFERROR(__xludf.DUMMYFUNCTION("""COMPUTED_VALUE"""),2262343.0)</f>
        <v>2262343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</row>
    <row r="18">
      <c r="A18" s="8">
        <f>IFERROR(__xludf.DUMMYFUNCTION("""COMPUTED_VALUE"""),17.0)</f>
        <v>17</v>
      </c>
      <c r="B18" s="9" t="str">
        <f>IFERROR(__xludf.DUMMYFUNCTION("""COMPUTED_VALUE"""),"HOYOS BELLO SHEYLER TATIANA")</f>
        <v>HOYOS BELLO SHEYLER TATIANA</v>
      </c>
      <c r="C18" s="10">
        <f>IFERROR(__xludf.DUMMYFUNCTION("""COMPUTED_VALUE"""),3.6)</f>
        <v>3.6</v>
      </c>
      <c r="D18" s="10"/>
      <c r="E18" s="10"/>
      <c r="F18" s="10"/>
      <c r="G18" s="13"/>
      <c r="H18" s="15">
        <f>IFERROR(__xludf.DUMMYFUNCTION("""COMPUTED_VALUE"""),2.45)</f>
        <v>2.45</v>
      </c>
      <c r="I18" s="16">
        <f>IFERROR(__xludf.DUMMYFUNCTION("""COMPUTED_VALUE"""),0.0)</f>
        <v>0</v>
      </c>
      <c r="J18" s="8">
        <f>IFERROR(__xludf.DUMMYFUNCTION("""COMPUTED_VALUE"""),3.92)</f>
        <v>3.92</v>
      </c>
      <c r="K18" s="8">
        <f>IFERROR(__xludf.DUMMYFUNCTION("""COMPUTED_VALUE"""),4.8500000000000005)</f>
        <v>4.85</v>
      </c>
      <c r="L18" s="8">
        <f>IFERROR(__xludf.DUMMYFUNCTION("""COMPUTED_VALUE"""),5.0)</f>
        <v>5</v>
      </c>
      <c r="M18" s="8">
        <f>IFERROR(__xludf.DUMMYFUNCTION("""COMPUTED_VALUE"""),5.0)</f>
        <v>5</v>
      </c>
      <c r="N18" s="8">
        <f>IFERROR(__xludf.DUMMYFUNCTION("""COMPUTED_VALUE"""),5.0)</f>
        <v>5</v>
      </c>
      <c r="O18" s="8"/>
      <c r="P18" s="20">
        <f>IFERROR(__xludf.DUMMYFUNCTION("""COMPUTED_VALUE"""),0.9650000000000001)</f>
        <v>0.965</v>
      </c>
      <c r="Q18" s="16">
        <f>IFERROR(__xludf.DUMMYFUNCTION("""COMPUTED_VALUE"""),2262867.0)</f>
        <v>2262867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</row>
    <row r="19">
      <c r="A19" s="8">
        <f>IFERROR(__xludf.DUMMYFUNCTION("""COMPUTED_VALUE"""),18.0)</f>
        <v>18</v>
      </c>
      <c r="B19" s="9" t="str">
        <f>IFERROR(__xludf.DUMMYFUNCTION("""COMPUTED_VALUE"""),"LOPEZ QUIROGA ANGELA")</f>
        <v>LOPEZ QUIROGA ANGELA</v>
      </c>
      <c r="C19" s="10">
        <f>IFERROR(__xludf.DUMMYFUNCTION("""COMPUTED_VALUE"""),5.0)</f>
        <v>5</v>
      </c>
      <c r="D19" s="10"/>
      <c r="E19" s="10"/>
      <c r="F19" s="10"/>
      <c r="G19" s="13"/>
      <c r="H19" s="15">
        <f>IFERROR(__xludf.DUMMYFUNCTION("""COMPUTED_VALUE"""),2.9000000000000004)</f>
        <v>2.9</v>
      </c>
      <c r="I19" s="16">
        <f>IFERROR(__xludf.DUMMYFUNCTION("""COMPUTED_VALUE"""),4.83)</f>
        <v>4.83</v>
      </c>
      <c r="J19" s="8">
        <f>IFERROR(__xludf.DUMMYFUNCTION("""COMPUTED_VALUE"""),4.75)</f>
        <v>4.75</v>
      </c>
      <c r="K19" s="8">
        <f>IFERROR(__xludf.DUMMYFUNCTION("""COMPUTED_VALUE"""),4.65)</f>
        <v>4.65</v>
      </c>
      <c r="L19" s="8">
        <f>IFERROR(__xludf.DUMMYFUNCTION("""COMPUTED_VALUE"""),5.0)</f>
        <v>5</v>
      </c>
      <c r="M19" s="8">
        <f>IFERROR(__xludf.DUMMYFUNCTION("""COMPUTED_VALUE"""),5.0)</f>
        <v>5</v>
      </c>
      <c r="N19" s="8">
        <f>IFERROR(__xludf.DUMMYFUNCTION("""COMPUTED_VALUE"""),5.0)</f>
        <v>5</v>
      </c>
      <c r="O19" s="8"/>
      <c r="P19" s="20">
        <f>IFERROR(__xludf.DUMMYFUNCTION("""COMPUTED_VALUE"""),1.29)</f>
        <v>1.29</v>
      </c>
      <c r="Q19" s="16">
        <f>IFERROR(__xludf.DUMMYFUNCTION("""COMPUTED_VALUE"""),2262650.0)</f>
        <v>2262650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</row>
    <row r="20">
      <c r="A20" s="8">
        <f>IFERROR(__xludf.DUMMYFUNCTION("""COMPUTED_VALUE"""),19.0)</f>
        <v>19</v>
      </c>
      <c r="B20" s="9" t="str">
        <f>IFERROR(__xludf.DUMMYFUNCTION("""COMPUTED_VALUE"""),"MORENO MORALES JULIETH DANIELA")</f>
        <v>MORENO MORALES JULIETH DANIELA</v>
      </c>
      <c r="C20" s="10">
        <f>IFERROR(__xludf.DUMMYFUNCTION("""COMPUTED_VALUE"""),3.6)</f>
        <v>3.6</v>
      </c>
      <c r="D20" s="10"/>
      <c r="E20" s="10"/>
      <c r="F20" s="10"/>
      <c r="G20" s="13"/>
      <c r="H20" s="15">
        <f>IFERROR(__xludf.DUMMYFUNCTION("""COMPUTED_VALUE"""),4.75)</f>
        <v>4.75</v>
      </c>
      <c r="I20" s="16">
        <f>IFERROR(__xludf.DUMMYFUNCTION("""COMPUTED_VALUE"""),0.0)</f>
        <v>0</v>
      </c>
      <c r="J20" s="8">
        <f>IFERROR(__xludf.DUMMYFUNCTION("""COMPUTED_VALUE"""),0.0)</f>
        <v>0</v>
      </c>
      <c r="K20" s="8">
        <f>IFERROR(__xludf.DUMMYFUNCTION("""COMPUTED_VALUE"""),0.0)</f>
        <v>0</v>
      </c>
      <c r="L20" s="8">
        <f>IFERROR(__xludf.DUMMYFUNCTION("""COMPUTED_VALUE"""),5.0)</f>
        <v>5</v>
      </c>
      <c r="M20" s="8">
        <f>IFERROR(__xludf.DUMMYFUNCTION("""COMPUTED_VALUE"""),0.0)</f>
        <v>0</v>
      </c>
      <c r="N20" s="8">
        <f>IFERROR(__xludf.DUMMYFUNCTION("""COMPUTED_VALUE"""),5.0)</f>
        <v>5</v>
      </c>
      <c r="O20" s="8"/>
      <c r="P20" s="20">
        <f>IFERROR(__xludf.DUMMYFUNCTION("""COMPUTED_VALUE"""),1.195)</f>
        <v>1.195</v>
      </c>
      <c r="Q20" s="16">
        <f>IFERROR(__xludf.DUMMYFUNCTION("""COMPUTED_VALUE"""),2262876.0)</f>
        <v>2262876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</row>
    <row r="21">
      <c r="A21" s="8">
        <f>IFERROR(__xludf.DUMMYFUNCTION("""COMPUTED_VALUE"""),20.0)</f>
        <v>20</v>
      </c>
      <c r="B21" s="9" t="str">
        <f>IFERROR(__xludf.DUMMYFUNCTION("""COMPUTED_VALUE"""),"MUÑOZ PORTILLA SARA VALENTINA")</f>
        <v>MUÑOZ PORTILLA SARA VALENTINA</v>
      </c>
      <c r="C21" s="10">
        <f>IFERROR(__xludf.DUMMYFUNCTION("""COMPUTED_VALUE"""),5.0)</f>
        <v>5</v>
      </c>
      <c r="D21" s="10"/>
      <c r="E21" s="10"/>
      <c r="F21" s="10"/>
      <c r="G21" s="13"/>
      <c r="H21" s="15">
        <f>IFERROR(__xludf.DUMMYFUNCTION("""COMPUTED_VALUE"""),0.0)</f>
        <v>0</v>
      </c>
      <c r="I21" s="16">
        <f>IFERROR(__xludf.DUMMYFUNCTION("""COMPUTED_VALUE"""),5.0)</f>
        <v>5</v>
      </c>
      <c r="J21" s="8">
        <f>IFERROR(__xludf.DUMMYFUNCTION("""COMPUTED_VALUE"""),4.42)</f>
        <v>4.42</v>
      </c>
      <c r="K21" s="8">
        <f>IFERROR(__xludf.DUMMYFUNCTION("""COMPUTED_VALUE"""),0.0)</f>
        <v>0</v>
      </c>
      <c r="L21" s="8">
        <f>IFERROR(__xludf.DUMMYFUNCTION("""COMPUTED_VALUE"""),4.4)</f>
        <v>4.4</v>
      </c>
      <c r="M21" s="8">
        <f>IFERROR(__xludf.DUMMYFUNCTION("""COMPUTED_VALUE"""),1.5)</f>
        <v>1.5</v>
      </c>
      <c r="N21" s="8">
        <f>IFERROR(__xludf.DUMMYFUNCTION("""COMPUTED_VALUE"""),5.0)</f>
        <v>5</v>
      </c>
      <c r="O21" s="8"/>
      <c r="P21" s="20">
        <f>IFERROR(__xludf.DUMMYFUNCTION("""COMPUTED_VALUE"""),1.0)</f>
        <v>1</v>
      </c>
      <c r="Q21" s="16">
        <f>IFERROR(__xludf.DUMMYFUNCTION("""COMPUTED_VALUE"""),2262361.0)</f>
        <v>2262361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</row>
    <row r="22">
      <c r="A22" s="8">
        <f>IFERROR(__xludf.DUMMYFUNCTION("""COMPUTED_VALUE"""),21.0)</f>
        <v>21</v>
      </c>
      <c r="B22" s="9" t="str">
        <f>IFERROR(__xludf.DUMMYFUNCTION("""COMPUTED_VALUE"""),"ORTIZ ESCALANTE JUAN DAVID")</f>
        <v>ORTIZ ESCALANTE JUAN DAVID</v>
      </c>
      <c r="C22" s="10">
        <f>IFERROR(__xludf.DUMMYFUNCTION("""COMPUTED_VALUE"""),2.5)</f>
        <v>2.5</v>
      </c>
      <c r="D22" s="10"/>
      <c r="E22" s="10"/>
      <c r="F22" s="10"/>
      <c r="G22" s="13"/>
      <c r="H22" s="15">
        <f>IFERROR(__xludf.DUMMYFUNCTION("""COMPUTED_VALUE"""),3.1500000000000004)</f>
        <v>3.15</v>
      </c>
      <c r="I22" s="16">
        <f>IFERROR(__xludf.DUMMYFUNCTION("""COMPUTED_VALUE"""),3.33)</f>
        <v>3.33</v>
      </c>
      <c r="J22" s="8">
        <f>IFERROR(__xludf.DUMMYFUNCTION("""COMPUTED_VALUE"""),3.92)</f>
        <v>3.92</v>
      </c>
      <c r="K22" s="8">
        <f>IFERROR(__xludf.DUMMYFUNCTION("""COMPUTED_VALUE"""),0.0)</f>
        <v>0</v>
      </c>
      <c r="L22" s="8">
        <f>IFERROR(__xludf.DUMMYFUNCTION("""COMPUTED_VALUE"""),5.0)</f>
        <v>5</v>
      </c>
      <c r="M22" s="8">
        <f>IFERROR(__xludf.DUMMYFUNCTION("""COMPUTED_VALUE"""),1.7000000000000002)</f>
        <v>1.7</v>
      </c>
      <c r="N22" s="8">
        <f>IFERROR(__xludf.DUMMYFUNCTION("""COMPUTED_VALUE"""),5.0)</f>
        <v>5</v>
      </c>
      <c r="O22" s="8"/>
      <c r="P22" s="20">
        <f>IFERROR(__xludf.DUMMYFUNCTION("""COMPUTED_VALUE"""),0.8150000000000001)</f>
        <v>0.815</v>
      </c>
      <c r="Q22" s="16">
        <f>IFERROR(__xludf.DUMMYFUNCTION("""COMPUTED_VALUE"""),2262613.0)</f>
        <v>2262613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</row>
    <row r="23">
      <c r="A23" s="8">
        <f>IFERROR(__xludf.DUMMYFUNCTION("""COMPUTED_VALUE"""),22.0)</f>
        <v>22</v>
      </c>
      <c r="B23" s="9" t="str">
        <f>IFERROR(__xludf.DUMMYFUNCTION("""COMPUTED_VALUE"""),"OTERO CARDENAS JUAN DAVID")</f>
        <v>OTERO CARDENAS JUAN DAVID</v>
      </c>
      <c r="C23" s="10">
        <f>IFERROR(__xludf.DUMMYFUNCTION("""COMPUTED_VALUE"""),5.0)</f>
        <v>5</v>
      </c>
      <c r="D23" s="10"/>
      <c r="E23" s="10"/>
      <c r="F23" s="10"/>
      <c r="G23" s="13"/>
      <c r="H23" s="15">
        <f>IFERROR(__xludf.DUMMYFUNCTION("""COMPUTED_VALUE"""),2.4000000000000004)</f>
        <v>2.4</v>
      </c>
      <c r="I23" s="16">
        <f>IFERROR(__xludf.DUMMYFUNCTION("""COMPUTED_VALUE"""),5.0)</f>
        <v>5</v>
      </c>
      <c r="J23" s="8">
        <f>IFERROR(__xludf.DUMMYFUNCTION("""COMPUTED_VALUE"""),4.92)</f>
        <v>4.92</v>
      </c>
      <c r="K23" s="8">
        <f>IFERROR(__xludf.DUMMYFUNCTION("""COMPUTED_VALUE"""),0.0)</f>
        <v>0</v>
      </c>
      <c r="L23" s="8">
        <f>IFERROR(__xludf.DUMMYFUNCTION("""COMPUTED_VALUE"""),3.4000000000000004)</f>
        <v>3.4</v>
      </c>
      <c r="M23" s="8">
        <f>IFERROR(__xludf.DUMMYFUNCTION("""COMPUTED_VALUE"""),5.0)</f>
        <v>5</v>
      </c>
      <c r="N23" s="8">
        <f>IFERROR(__xludf.DUMMYFUNCTION("""COMPUTED_VALUE"""),5.0)</f>
        <v>5</v>
      </c>
      <c r="O23" s="8"/>
      <c r="P23" s="20">
        <f>IFERROR(__xludf.DUMMYFUNCTION("""COMPUTED_VALUE"""),1.24)</f>
        <v>1.24</v>
      </c>
      <c r="Q23" s="16">
        <f>IFERROR(__xludf.DUMMYFUNCTION("""COMPUTED_VALUE"""),2262932.0)</f>
        <v>2262932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</row>
    <row r="24">
      <c r="A24" s="8">
        <f>IFERROR(__xludf.DUMMYFUNCTION("""COMPUTED_VALUE"""),23.0)</f>
        <v>23</v>
      </c>
      <c r="B24" s="9" t="str">
        <f>IFERROR(__xludf.DUMMYFUNCTION("""COMPUTED_VALUE"""),"OVALLE MANJARRES JEISSY VALENTINA")</f>
        <v>OVALLE MANJARRES JEISSY VALENTINA</v>
      </c>
      <c r="C24" s="10">
        <f>IFERROR(__xludf.DUMMYFUNCTION("""COMPUTED_VALUE"""),4.1)</f>
        <v>4.1</v>
      </c>
      <c r="D24" s="10"/>
      <c r="E24" s="10"/>
      <c r="F24" s="10"/>
      <c r="G24" s="13"/>
      <c r="H24" s="15">
        <f>IFERROR(__xludf.DUMMYFUNCTION("""COMPUTED_VALUE"""),3.3000000000000003)</f>
        <v>3.3</v>
      </c>
      <c r="I24" s="16">
        <f>IFERROR(__xludf.DUMMYFUNCTION("""COMPUTED_VALUE"""),5.0)</f>
        <v>5</v>
      </c>
      <c r="J24" s="8">
        <f>IFERROR(__xludf.DUMMYFUNCTION("""COMPUTED_VALUE"""),4.42)</f>
        <v>4.42</v>
      </c>
      <c r="K24" s="8">
        <f>IFERROR(__xludf.DUMMYFUNCTION("""COMPUTED_VALUE"""),3.2)</f>
        <v>3.2</v>
      </c>
      <c r="L24" s="8">
        <f>IFERROR(__xludf.DUMMYFUNCTION("""COMPUTED_VALUE"""),5.0)</f>
        <v>5</v>
      </c>
      <c r="M24" s="8">
        <f>IFERROR(__xludf.DUMMYFUNCTION("""COMPUTED_VALUE"""),0.75)</f>
        <v>0.75</v>
      </c>
      <c r="N24" s="8">
        <f>IFERROR(__xludf.DUMMYFUNCTION("""COMPUTED_VALUE"""),5.0)</f>
        <v>5</v>
      </c>
      <c r="O24" s="8"/>
      <c r="P24" s="20">
        <f>IFERROR(__xludf.DUMMYFUNCTION("""COMPUTED_VALUE"""),1.15)</f>
        <v>1.15</v>
      </c>
      <c r="Q24" s="16">
        <f>IFERROR(__xludf.DUMMYFUNCTION("""COMPUTED_VALUE"""),2262645.0)</f>
        <v>2262645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</row>
    <row r="25">
      <c r="A25" s="8">
        <f>IFERROR(__xludf.DUMMYFUNCTION("""COMPUTED_VALUE"""),24.0)</f>
        <v>24</v>
      </c>
      <c r="B25" s="9" t="str">
        <f>IFERROR(__xludf.DUMMYFUNCTION("""COMPUTED_VALUE"""),"PADILLA CASTRO ANDRES DAVID")</f>
        <v>PADILLA CASTRO ANDRES DAVID</v>
      </c>
      <c r="C25" s="10">
        <f>IFERROR(__xludf.DUMMYFUNCTION("""COMPUTED_VALUE"""),4.7)</f>
        <v>4.7</v>
      </c>
      <c r="D25" s="10"/>
      <c r="E25" s="10"/>
      <c r="F25" s="10"/>
      <c r="G25" s="13"/>
      <c r="H25" s="15">
        <f>IFERROR(__xludf.DUMMYFUNCTION("""COMPUTED_VALUE"""),4.2)</f>
        <v>4.2</v>
      </c>
      <c r="I25" s="16">
        <f>IFERROR(__xludf.DUMMYFUNCTION("""COMPUTED_VALUE"""),4.17)</f>
        <v>4.17</v>
      </c>
      <c r="J25" s="8">
        <f>IFERROR(__xludf.DUMMYFUNCTION("""COMPUTED_VALUE"""),4.67)</f>
        <v>4.67</v>
      </c>
      <c r="K25" s="8">
        <f>IFERROR(__xludf.DUMMYFUNCTION("""COMPUTED_VALUE"""),0.0)</f>
        <v>0</v>
      </c>
      <c r="L25" s="8">
        <f>IFERROR(__xludf.DUMMYFUNCTION("""COMPUTED_VALUE"""),5.0)</f>
        <v>5</v>
      </c>
      <c r="M25" s="8">
        <f>IFERROR(__xludf.DUMMYFUNCTION("""COMPUTED_VALUE"""),3.6500000000000004)</f>
        <v>3.65</v>
      </c>
      <c r="N25" s="8">
        <f>IFERROR(__xludf.DUMMYFUNCTION("""COMPUTED_VALUE"""),5.0)</f>
        <v>5</v>
      </c>
      <c r="O25" s="8"/>
      <c r="P25" s="20">
        <f>IFERROR(__xludf.DUMMYFUNCTION("""COMPUTED_VALUE"""),1.36)</f>
        <v>1.36</v>
      </c>
      <c r="Q25" s="16">
        <f>IFERROR(__xludf.DUMMYFUNCTION("""COMPUTED_VALUE"""),2262884.0)</f>
        <v>2262884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</row>
    <row r="26">
      <c r="A26" s="8">
        <f>IFERROR(__xludf.DUMMYFUNCTION("""COMPUTED_VALUE"""),25.0)</f>
        <v>25</v>
      </c>
      <c r="B26" s="9" t="str">
        <f>IFERROR(__xludf.DUMMYFUNCTION("""COMPUTED_VALUE"""),"PARRA BARON JUAN DAVID")</f>
        <v>PARRA BARON JUAN DAVID</v>
      </c>
      <c r="C26" s="10">
        <f>IFERROR(__xludf.DUMMYFUNCTION("""COMPUTED_VALUE"""),4.5)</f>
        <v>4.5</v>
      </c>
      <c r="D26" s="10"/>
      <c r="E26" s="10"/>
      <c r="F26" s="10"/>
      <c r="G26" s="13"/>
      <c r="H26" s="15">
        <f>IFERROR(__xludf.DUMMYFUNCTION("""COMPUTED_VALUE"""),2.95)</f>
        <v>2.95</v>
      </c>
      <c r="I26" s="16">
        <f>IFERROR(__xludf.DUMMYFUNCTION("""COMPUTED_VALUE"""),4.67)</f>
        <v>4.67</v>
      </c>
      <c r="J26" s="8">
        <f>IFERROR(__xludf.DUMMYFUNCTION("""COMPUTED_VALUE"""),4.25)</f>
        <v>4.25</v>
      </c>
      <c r="K26" s="8">
        <f>IFERROR(__xludf.DUMMYFUNCTION("""COMPUTED_VALUE"""),0.0)</f>
        <v>0</v>
      </c>
      <c r="L26" s="8">
        <f>IFERROR(__xludf.DUMMYFUNCTION("""COMPUTED_VALUE"""),5.0)</f>
        <v>5</v>
      </c>
      <c r="M26" s="8">
        <f>IFERROR(__xludf.DUMMYFUNCTION("""COMPUTED_VALUE"""),0.9)</f>
        <v>0.9</v>
      </c>
      <c r="N26" s="8">
        <f>IFERROR(__xludf.DUMMYFUNCTION("""COMPUTED_VALUE"""),5.0)</f>
        <v>5</v>
      </c>
      <c r="O26" s="8"/>
      <c r="P26" s="20">
        <f>IFERROR(__xludf.DUMMYFUNCTION("""COMPUTED_VALUE"""),1.195)</f>
        <v>1.195</v>
      </c>
      <c r="Q26" s="16">
        <f>IFERROR(__xludf.DUMMYFUNCTION("""COMPUTED_VALUE"""),2250720.0)</f>
        <v>2250720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</row>
    <row r="27">
      <c r="A27" s="8">
        <f>IFERROR(__xludf.DUMMYFUNCTION("""COMPUTED_VALUE"""),26.0)</f>
        <v>26</v>
      </c>
      <c r="B27" s="9" t="str">
        <f>IFERROR(__xludf.DUMMYFUNCTION("""COMPUTED_VALUE"""),"PEREZ MONCADA LUIS ALEJANDRO")</f>
        <v>PEREZ MONCADA LUIS ALEJANDRO</v>
      </c>
      <c r="C27" s="10">
        <f>IFERROR(__xludf.DUMMYFUNCTION("""COMPUTED_VALUE"""),3.0)</f>
        <v>3</v>
      </c>
      <c r="D27" s="10"/>
      <c r="E27" s="10"/>
      <c r="F27" s="10"/>
      <c r="G27" s="13"/>
      <c r="H27" s="15">
        <f>IFERROR(__xludf.DUMMYFUNCTION("""COMPUTED_VALUE"""),2.95)</f>
        <v>2.95</v>
      </c>
      <c r="I27" s="16">
        <f>IFERROR(__xludf.DUMMYFUNCTION("""COMPUTED_VALUE"""),4.67)</f>
        <v>4.67</v>
      </c>
      <c r="J27" s="8">
        <f>IFERROR(__xludf.DUMMYFUNCTION("""COMPUTED_VALUE"""),4.83)</f>
        <v>4.83</v>
      </c>
      <c r="K27" s="8">
        <f>IFERROR(__xludf.DUMMYFUNCTION("""COMPUTED_VALUE"""),3.6500000000000004)</f>
        <v>3.65</v>
      </c>
      <c r="L27" s="8">
        <f>IFERROR(__xludf.DUMMYFUNCTION("""COMPUTED_VALUE"""),5.0)</f>
        <v>5</v>
      </c>
      <c r="M27" s="8">
        <f>IFERROR(__xludf.DUMMYFUNCTION("""COMPUTED_VALUE"""),4.25)</f>
        <v>4.25</v>
      </c>
      <c r="N27" s="8">
        <f>IFERROR(__xludf.DUMMYFUNCTION("""COMPUTED_VALUE"""),5.0)</f>
        <v>5</v>
      </c>
      <c r="O27" s="8"/>
      <c r="P27" s="20">
        <f>IFERROR(__xludf.DUMMYFUNCTION("""COMPUTED_VALUE"""),0.8950000000000001)</f>
        <v>0.895</v>
      </c>
      <c r="Q27" s="16">
        <f>IFERROR(__xludf.DUMMYFUNCTION("""COMPUTED_VALUE"""),2262794.0)</f>
        <v>2262794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</row>
    <row r="28">
      <c r="A28" s="8">
        <f>IFERROR(__xludf.DUMMYFUNCTION("""COMPUTED_VALUE"""),27.0)</f>
        <v>27</v>
      </c>
      <c r="B28" s="9" t="str">
        <f>IFERROR(__xludf.DUMMYFUNCTION("""COMPUTED_VALUE"""),"REYES CASTELLANOS DANIELA")</f>
        <v>REYES CASTELLANOS DANIELA</v>
      </c>
      <c r="C28" s="10">
        <f>IFERROR(__xludf.DUMMYFUNCTION("""COMPUTED_VALUE"""),5.0)</f>
        <v>5</v>
      </c>
      <c r="D28" s="10"/>
      <c r="E28" s="10"/>
      <c r="F28" s="10"/>
      <c r="G28" s="13"/>
      <c r="H28" s="15">
        <f>IFERROR(__xludf.DUMMYFUNCTION("""COMPUTED_VALUE"""),4.4)</f>
        <v>4.4</v>
      </c>
      <c r="I28" s="16">
        <f>IFERROR(__xludf.DUMMYFUNCTION("""COMPUTED_VALUE"""),4.33)</f>
        <v>4.33</v>
      </c>
      <c r="J28" s="8">
        <f>IFERROR(__xludf.DUMMYFUNCTION("""COMPUTED_VALUE"""),4.67)</f>
        <v>4.67</v>
      </c>
      <c r="K28" s="8">
        <f>IFERROR(__xludf.DUMMYFUNCTION("""COMPUTED_VALUE"""),4.65)</f>
        <v>4.65</v>
      </c>
      <c r="L28" s="8">
        <f>IFERROR(__xludf.DUMMYFUNCTION("""COMPUTED_VALUE"""),5.0)</f>
        <v>5</v>
      </c>
      <c r="M28" s="8">
        <f>IFERROR(__xludf.DUMMYFUNCTION("""COMPUTED_VALUE"""),5.0)</f>
        <v>5</v>
      </c>
      <c r="N28" s="8">
        <f>IFERROR(__xludf.DUMMYFUNCTION("""COMPUTED_VALUE"""),5.0)</f>
        <v>5</v>
      </c>
      <c r="O28" s="8"/>
      <c r="P28" s="20">
        <f>IFERROR(__xludf.DUMMYFUNCTION("""COMPUTED_VALUE"""),1.44)</f>
        <v>1.44</v>
      </c>
      <c r="Q28" s="16">
        <f>IFERROR(__xludf.DUMMYFUNCTION("""COMPUTED_VALUE"""),2262621.0)</f>
        <v>2262621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</row>
    <row r="29">
      <c r="A29" s="8">
        <f>IFERROR(__xludf.DUMMYFUNCTION("""COMPUTED_VALUE"""),28.0)</f>
        <v>28</v>
      </c>
      <c r="B29" s="9" t="str">
        <f>IFERROR(__xludf.DUMMYFUNCTION("""COMPUTED_VALUE"""),"ROPERO MOJICA CRISTIAN ANDRES")</f>
        <v>ROPERO MOJICA CRISTIAN ANDRES</v>
      </c>
      <c r="C29" s="10">
        <f>IFERROR(__xludf.DUMMYFUNCTION("""COMPUTED_VALUE"""),4.5)</f>
        <v>4.5</v>
      </c>
      <c r="D29" s="10"/>
      <c r="E29" s="10"/>
      <c r="F29" s="10"/>
      <c r="G29" s="13"/>
      <c r="H29" s="15">
        <f>IFERROR(__xludf.DUMMYFUNCTION("""COMPUTED_VALUE"""),4.55)</f>
        <v>4.55</v>
      </c>
      <c r="I29" s="16">
        <f>IFERROR(__xludf.DUMMYFUNCTION("""COMPUTED_VALUE"""),5.0)</f>
        <v>5</v>
      </c>
      <c r="J29" s="8">
        <f>IFERROR(__xludf.DUMMYFUNCTION("""COMPUTED_VALUE"""),4.08)</f>
        <v>4.08</v>
      </c>
      <c r="K29" s="8">
        <f>IFERROR(__xludf.DUMMYFUNCTION("""COMPUTED_VALUE"""),4.5)</f>
        <v>4.5</v>
      </c>
      <c r="L29" s="8">
        <f>IFERROR(__xludf.DUMMYFUNCTION("""COMPUTED_VALUE"""),5.0)</f>
        <v>5</v>
      </c>
      <c r="M29" s="8">
        <f>IFERROR(__xludf.DUMMYFUNCTION("""COMPUTED_VALUE"""),5.0)</f>
        <v>5</v>
      </c>
      <c r="N29" s="8">
        <f>IFERROR(__xludf.DUMMYFUNCTION("""COMPUTED_VALUE"""),0.0)</f>
        <v>0</v>
      </c>
      <c r="O29" s="8"/>
      <c r="P29" s="20">
        <f>IFERROR(__xludf.DUMMYFUNCTION("""COMPUTED_VALUE"""),1.355)</f>
        <v>1.355</v>
      </c>
      <c r="Q29" s="16">
        <f>IFERROR(__xludf.DUMMYFUNCTION("""COMPUTED_VALUE"""),2262862.0)</f>
        <v>2262862</v>
      </c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</row>
    <row r="30">
      <c r="A30" s="8">
        <f>IFERROR(__xludf.DUMMYFUNCTION("""COMPUTED_VALUE"""),29.0)</f>
        <v>29</v>
      </c>
      <c r="B30" s="9" t="str">
        <f>IFERROR(__xludf.DUMMYFUNCTION("""COMPUTED_VALUE"""),"SANCHEZ BERMUDEZ GABRIELLA")</f>
        <v>SANCHEZ BERMUDEZ GABRIELLA</v>
      </c>
      <c r="C30" s="10">
        <f>IFERROR(__xludf.DUMMYFUNCTION("""COMPUTED_VALUE"""),5.0)</f>
        <v>5</v>
      </c>
      <c r="D30" s="10"/>
      <c r="E30" s="10"/>
      <c r="F30" s="10"/>
      <c r="G30" s="13"/>
      <c r="H30" s="15">
        <f>IFERROR(__xludf.DUMMYFUNCTION("""COMPUTED_VALUE"""),4.55)</f>
        <v>4.55</v>
      </c>
      <c r="I30" s="16">
        <f>IFERROR(__xludf.DUMMYFUNCTION("""COMPUTED_VALUE"""),4.0)</f>
        <v>4</v>
      </c>
      <c r="J30" s="8">
        <f>IFERROR(__xludf.DUMMYFUNCTION("""COMPUTED_VALUE"""),4.72)</f>
        <v>4.72</v>
      </c>
      <c r="K30" s="8">
        <f>IFERROR(__xludf.DUMMYFUNCTION("""COMPUTED_VALUE"""),0.0)</f>
        <v>0</v>
      </c>
      <c r="L30" s="8">
        <f>IFERROR(__xludf.DUMMYFUNCTION("""COMPUTED_VALUE"""),5.0)</f>
        <v>5</v>
      </c>
      <c r="M30" s="8">
        <f>IFERROR(__xludf.DUMMYFUNCTION("""COMPUTED_VALUE"""),0.35000000000000003)</f>
        <v>0.35</v>
      </c>
      <c r="N30" s="8">
        <f>IFERROR(__xludf.DUMMYFUNCTION("""COMPUTED_VALUE"""),5.0)</f>
        <v>5</v>
      </c>
      <c r="O30" s="8"/>
      <c r="P30" s="20">
        <f>IFERROR(__xludf.DUMMYFUNCTION("""COMPUTED_VALUE"""),1.455)</f>
        <v>1.455</v>
      </c>
      <c r="Q30" s="16">
        <f>IFERROR(__xludf.DUMMYFUNCTION("""COMPUTED_VALUE"""),2262461.0)</f>
        <v>2262461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</row>
    <row r="31">
      <c r="A31" s="8">
        <f>IFERROR(__xludf.DUMMYFUNCTION("""COMPUTED_VALUE"""),30.0)</f>
        <v>30</v>
      </c>
      <c r="B31" s="9" t="str">
        <f>IFERROR(__xludf.DUMMYFUNCTION("""COMPUTED_VALUE"""),"SIERRA PINTO DANIELA")</f>
        <v>SIERRA PINTO DANIELA</v>
      </c>
      <c r="C31" s="10">
        <f>IFERROR(__xludf.DUMMYFUNCTION("""COMPUTED_VALUE"""),5.0)</f>
        <v>5</v>
      </c>
      <c r="D31" s="10"/>
      <c r="E31" s="10"/>
      <c r="F31" s="10"/>
      <c r="G31" s="13"/>
      <c r="H31" s="15">
        <f>IFERROR(__xludf.DUMMYFUNCTION("""COMPUTED_VALUE"""),2.9000000000000004)</f>
        <v>2.9</v>
      </c>
      <c r="I31" s="16">
        <f>IFERROR(__xludf.DUMMYFUNCTION("""COMPUTED_VALUE"""),5.0)</f>
        <v>5</v>
      </c>
      <c r="J31" s="8">
        <f>IFERROR(__xludf.DUMMYFUNCTION("""COMPUTED_VALUE"""),4.42)</f>
        <v>4.42</v>
      </c>
      <c r="K31" s="8">
        <f>IFERROR(__xludf.DUMMYFUNCTION("""COMPUTED_VALUE"""),0.0)</f>
        <v>0</v>
      </c>
      <c r="L31" s="8">
        <f>IFERROR(__xludf.DUMMYFUNCTION("""COMPUTED_VALUE"""),5.0)</f>
        <v>5</v>
      </c>
      <c r="M31" s="8">
        <f>IFERROR(__xludf.DUMMYFUNCTION("""COMPUTED_VALUE"""),5.0)</f>
        <v>5</v>
      </c>
      <c r="N31" s="8">
        <f>IFERROR(__xludf.DUMMYFUNCTION("""COMPUTED_VALUE"""),5.0)</f>
        <v>5</v>
      </c>
      <c r="O31" s="8"/>
      <c r="P31" s="20">
        <f>IFERROR(__xludf.DUMMYFUNCTION("""COMPUTED_VALUE"""),1.29)</f>
        <v>1.29</v>
      </c>
      <c r="Q31" s="16">
        <f>IFERROR(__xludf.DUMMYFUNCTION("""COMPUTED_VALUE"""),2262450.0)</f>
        <v>2262450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</row>
    <row r="32">
      <c r="A32" s="8">
        <f>IFERROR(__xludf.DUMMYFUNCTION("""COMPUTED_VALUE"""),31.0)</f>
        <v>31</v>
      </c>
      <c r="B32" s="9" t="str">
        <f>IFERROR(__xludf.DUMMYFUNCTION("""COMPUTED_VALUE"""),"SILVA RODRIGUEZ ANGIE MARIANA")</f>
        <v>SILVA RODRIGUEZ ANGIE MARIANA</v>
      </c>
      <c r="C32" s="10">
        <f>IFERROR(__xludf.DUMMYFUNCTION("""COMPUTED_VALUE"""),5.0)</f>
        <v>5</v>
      </c>
      <c r="D32" s="10"/>
      <c r="E32" s="10"/>
      <c r="F32" s="10"/>
      <c r="G32" s="13"/>
      <c r="H32" s="15">
        <f>IFERROR(__xludf.DUMMYFUNCTION("""COMPUTED_VALUE"""),3.1500000000000004)</f>
        <v>3.15</v>
      </c>
      <c r="I32" s="16">
        <f>IFERROR(__xludf.DUMMYFUNCTION("""COMPUTED_VALUE"""),3.83)</f>
        <v>3.83</v>
      </c>
      <c r="J32" s="8">
        <f>IFERROR(__xludf.DUMMYFUNCTION("""COMPUTED_VALUE"""),3.42)</f>
        <v>3.42</v>
      </c>
      <c r="K32" s="8">
        <f>IFERROR(__xludf.DUMMYFUNCTION("""COMPUTED_VALUE"""),3.2)</f>
        <v>3.2</v>
      </c>
      <c r="L32" s="8">
        <f>IFERROR(__xludf.DUMMYFUNCTION("""COMPUTED_VALUE"""),5.0)</f>
        <v>5</v>
      </c>
      <c r="M32" s="8">
        <f>IFERROR(__xludf.DUMMYFUNCTION("""COMPUTED_VALUE"""),5.0)</f>
        <v>5</v>
      </c>
      <c r="N32" s="8">
        <f>IFERROR(__xludf.DUMMYFUNCTION("""COMPUTED_VALUE"""),5.0)</f>
        <v>5</v>
      </c>
      <c r="O32" s="8"/>
      <c r="P32" s="20">
        <f>IFERROR(__xludf.DUMMYFUNCTION("""COMPUTED_VALUE"""),1.315)</f>
        <v>1.315</v>
      </c>
      <c r="Q32" s="16">
        <f>IFERROR(__xludf.DUMMYFUNCTION("""COMPUTED_VALUE"""),2262523.0)</f>
        <v>2262523</v>
      </c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</row>
    <row r="33">
      <c r="A33" s="8">
        <f>IFERROR(__xludf.DUMMYFUNCTION("""COMPUTED_VALUE"""),32.0)</f>
        <v>32</v>
      </c>
      <c r="B33" s="9" t="str">
        <f>IFERROR(__xludf.DUMMYFUNCTION("""COMPUTED_VALUE"""),"TEJADA YATE SOFIA")</f>
        <v>TEJADA YATE SOFIA</v>
      </c>
      <c r="C33" s="10">
        <f>IFERROR(__xludf.DUMMYFUNCTION("""COMPUTED_VALUE"""),5.0)</f>
        <v>5</v>
      </c>
      <c r="D33" s="10"/>
      <c r="E33" s="10"/>
      <c r="F33" s="10"/>
      <c r="G33" s="13"/>
      <c r="H33" s="15">
        <f>IFERROR(__xludf.DUMMYFUNCTION("""COMPUTED_VALUE"""),3.5)</f>
        <v>3.5</v>
      </c>
      <c r="I33" s="16">
        <f>IFERROR(__xludf.DUMMYFUNCTION("""COMPUTED_VALUE"""),5.0)</f>
        <v>5</v>
      </c>
      <c r="J33" s="8">
        <f>IFERROR(__xludf.DUMMYFUNCTION("""COMPUTED_VALUE"""),5.0)</f>
        <v>5</v>
      </c>
      <c r="K33" s="8">
        <f>IFERROR(__xludf.DUMMYFUNCTION("""COMPUTED_VALUE"""),0.0)</f>
        <v>0</v>
      </c>
      <c r="L33" s="8">
        <f>IFERROR(__xludf.DUMMYFUNCTION("""COMPUTED_VALUE"""),5.0)</f>
        <v>5</v>
      </c>
      <c r="M33" s="8">
        <f>IFERROR(__xludf.DUMMYFUNCTION("""COMPUTED_VALUE"""),4.3500000000000005)</f>
        <v>4.35</v>
      </c>
      <c r="N33" s="8">
        <f>IFERROR(__xludf.DUMMYFUNCTION("""COMPUTED_VALUE"""),5.0)</f>
        <v>5</v>
      </c>
      <c r="O33" s="8"/>
      <c r="P33" s="20">
        <f>IFERROR(__xludf.DUMMYFUNCTION("""COMPUTED_VALUE"""),1.35)</f>
        <v>1.35</v>
      </c>
      <c r="Q33" s="16">
        <f>IFERROR(__xludf.DUMMYFUNCTION("""COMPUTED_VALUE"""),2262533.0)</f>
        <v>2262533</v>
      </c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</row>
    <row r="34">
      <c r="A34" s="8">
        <f>IFERROR(__xludf.DUMMYFUNCTION("""COMPUTED_VALUE"""),33.0)</f>
        <v>33</v>
      </c>
      <c r="B34" s="9" t="str">
        <f>IFERROR(__xludf.DUMMYFUNCTION("""COMPUTED_VALUE"""),"USUGA ESCANDON LUIS MANUEL")</f>
        <v>USUGA ESCANDON LUIS MANUEL</v>
      </c>
      <c r="C34" s="10">
        <f>IFERROR(__xludf.DUMMYFUNCTION("""COMPUTED_VALUE"""),4.4)</f>
        <v>4.4</v>
      </c>
      <c r="D34" s="10"/>
      <c r="E34" s="10"/>
      <c r="F34" s="10"/>
      <c r="G34" s="13"/>
      <c r="H34" s="15">
        <f>IFERROR(__xludf.DUMMYFUNCTION("""COMPUTED_VALUE"""),3.35)</f>
        <v>3.35</v>
      </c>
      <c r="I34" s="16">
        <f>IFERROR(__xludf.DUMMYFUNCTION("""COMPUTED_VALUE"""),4.0)</f>
        <v>4</v>
      </c>
      <c r="J34" s="8">
        <f>IFERROR(__xludf.DUMMYFUNCTION("""COMPUTED_VALUE"""),3.83)</f>
        <v>3.83</v>
      </c>
      <c r="K34" s="8">
        <f>IFERROR(__xludf.DUMMYFUNCTION("""COMPUTED_VALUE"""),2.75)</f>
        <v>2.75</v>
      </c>
      <c r="L34" s="8">
        <f>IFERROR(__xludf.DUMMYFUNCTION("""COMPUTED_VALUE"""),5.0)</f>
        <v>5</v>
      </c>
      <c r="M34" s="8">
        <f>IFERROR(__xludf.DUMMYFUNCTION("""COMPUTED_VALUE"""),1.1)</f>
        <v>1.1</v>
      </c>
      <c r="N34" s="8">
        <f>IFERROR(__xludf.DUMMYFUNCTION("""COMPUTED_VALUE"""),5.0)</f>
        <v>5</v>
      </c>
      <c r="O34" s="8"/>
      <c r="P34" s="20">
        <f>IFERROR(__xludf.DUMMYFUNCTION("""COMPUTED_VALUE"""),1.215)</f>
        <v>1.215</v>
      </c>
      <c r="Q34" s="16">
        <f>IFERROR(__xludf.DUMMYFUNCTION("""COMPUTED_VALUE"""),2262441.0)</f>
        <v>2262441</v>
      </c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</row>
    <row r="35">
      <c r="A35" s="8">
        <f>IFERROR(__xludf.DUMMYFUNCTION("""COMPUTED_VALUE"""),34.0)</f>
        <v>34</v>
      </c>
      <c r="B35" s="9" t="str">
        <f>IFERROR(__xludf.DUMMYFUNCTION("""COMPUTED_VALUE"""),"VESGA RODRIGUEZ NICOLE DAYANNA")</f>
        <v>VESGA RODRIGUEZ NICOLE DAYANNA</v>
      </c>
      <c r="C35" s="10">
        <f>IFERROR(__xludf.DUMMYFUNCTION("""COMPUTED_VALUE"""),4.7)</f>
        <v>4.7</v>
      </c>
      <c r="D35" s="10"/>
      <c r="E35" s="10"/>
      <c r="F35" s="10"/>
      <c r="G35" s="13"/>
      <c r="H35" s="15">
        <f>IFERROR(__xludf.DUMMYFUNCTION("""COMPUTED_VALUE"""),3.5500000000000003)</f>
        <v>3.55</v>
      </c>
      <c r="I35" s="16">
        <f>IFERROR(__xludf.DUMMYFUNCTION("""COMPUTED_VALUE"""),0.0)</f>
        <v>0</v>
      </c>
      <c r="J35" s="8">
        <f>IFERROR(__xludf.DUMMYFUNCTION("""COMPUTED_VALUE"""),4.67)</f>
        <v>4.67</v>
      </c>
      <c r="K35" s="8">
        <f>IFERROR(__xludf.DUMMYFUNCTION("""COMPUTED_VALUE"""),4.65)</f>
        <v>4.65</v>
      </c>
      <c r="L35" s="8">
        <f>IFERROR(__xludf.DUMMYFUNCTION("""COMPUTED_VALUE"""),5.0)</f>
        <v>5</v>
      </c>
      <c r="M35" s="8">
        <f>IFERROR(__xludf.DUMMYFUNCTION("""COMPUTED_VALUE"""),5.0)</f>
        <v>5</v>
      </c>
      <c r="N35" s="8">
        <f>IFERROR(__xludf.DUMMYFUNCTION("""COMPUTED_VALUE"""),5.0)</f>
        <v>5</v>
      </c>
      <c r="O35" s="8"/>
      <c r="P35" s="20">
        <f>IFERROR(__xludf.DUMMYFUNCTION("""COMPUTED_VALUE"""),1.2950000000000002)</f>
        <v>1.295</v>
      </c>
      <c r="Q35" s="16">
        <f>IFERROR(__xludf.DUMMYFUNCTION("""COMPUTED_VALUE"""),2262875.0)</f>
        <v>2262875</v>
      </c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</row>
    <row r="36">
      <c r="A36" s="8">
        <f>IFERROR(__xludf.DUMMYFUNCTION("""COMPUTED_VALUE"""),35.0)</f>
        <v>35</v>
      </c>
      <c r="B36" s="9" t="str">
        <f>IFERROR(__xludf.DUMMYFUNCTION("""COMPUTED_VALUE"""),"VILLAMIZAR SANCHEZ SOFIA ISABELLA")</f>
        <v>VILLAMIZAR SANCHEZ SOFIA ISABELLA</v>
      </c>
      <c r="C36" s="10">
        <f>IFERROR(__xludf.DUMMYFUNCTION("""COMPUTED_VALUE"""),4.5)</f>
        <v>4.5</v>
      </c>
      <c r="D36" s="10"/>
      <c r="E36" s="10"/>
      <c r="F36" s="10"/>
      <c r="G36" s="13"/>
      <c r="H36" s="15">
        <f>IFERROR(__xludf.DUMMYFUNCTION("""COMPUTED_VALUE"""),3.1)</f>
        <v>3.1</v>
      </c>
      <c r="I36" s="16">
        <f>IFERROR(__xludf.DUMMYFUNCTION("""COMPUTED_VALUE"""),4.67)</f>
        <v>4.67</v>
      </c>
      <c r="J36" s="8">
        <f>IFERROR(__xludf.DUMMYFUNCTION("""COMPUTED_VALUE"""),4.75)</f>
        <v>4.75</v>
      </c>
      <c r="K36" s="8">
        <f>IFERROR(__xludf.DUMMYFUNCTION("""COMPUTED_VALUE"""),4.65)</f>
        <v>4.65</v>
      </c>
      <c r="L36" s="8">
        <f>IFERROR(__xludf.DUMMYFUNCTION("""COMPUTED_VALUE"""),5.0)</f>
        <v>5</v>
      </c>
      <c r="M36" s="8">
        <f>IFERROR(__xludf.DUMMYFUNCTION("""COMPUTED_VALUE"""),5.0)</f>
        <v>5</v>
      </c>
      <c r="N36" s="8">
        <f>IFERROR(__xludf.DUMMYFUNCTION("""COMPUTED_VALUE"""),5.0)</f>
        <v>5</v>
      </c>
      <c r="O36" s="8"/>
      <c r="P36" s="20">
        <f>IFERROR(__xludf.DUMMYFUNCTION("""COMPUTED_VALUE"""),1.21)</f>
        <v>1.21</v>
      </c>
      <c r="Q36" s="16">
        <f>IFERROR(__xludf.DUMMYFUNCTION("""COMPUTED_VALUE"""),2262415.0)</f>
        <v>2262415</v>
      </c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</row>
    <row r="37">
      <c r="A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</row>
    <row r="38">
      <c r="A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</row>
  </sheetData>
  <conditionalFormatting sqref="T2:T38">
    <cfRule type="cellIs" dxfId="0" priority="1" operator="greaterThanOrEqual">
      <formula>3</formula>
    </cfRule>
  </conditionalFormatting>
  <conditionalFormatting sqref="T2:T38">
    <cfRule type="cellIs" dxfId="1" priority="2" operator="between">
      <formula>2.8</formula>
      <formula>2.999</formula>
    </cfRule>
  </conditionalFormatting>
  <conditionalFormatting sqref="T2:T38">
    <cfRule type="cellIs" dxfId="2" priority="3" operator="lessThan">
      <formula>2.8</formula>
    </cfRule>
  </conditionalFormatting>
  <conditionalFormatting sqref="U2:U38">
    <cfRule type="cellIs" dxfId="3" priority="4" operator="lessThan">
      <formula>3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88"/>
    <col customWidth="1" min="2" max="2" width="34.38"/>
    <col customWidth="1" min="3" max="6" width="3.88"/>
    <col customWidth="1" min="7" max="7" width="4.63"/>
    <col customWidth="1" min="8" max="8" width="7.25"/>
    <col customWidth="1" min="9" max="9" width="4.75"/>
    <col customWidth="1" min="10" max="12" width="3.88"/>
    <col customWidth="1" min="13" max="13" width="5.13"/>
    <col customWidth="1" min="14" max="14" width="7.75"/>
    <col customWidth="1" min="15" max="15" width="8.13"/>
    <col customWidth="1" min="16" max="17" width="3.88"/>
    <col customWidth="1" min="18" max="18" width="7.25"/>
    <col customWidth="1" min="19" max="19" width="5.88"/>
    <col customWidth="1" min="20" max="20" width="6.63"/>
    <col customWidth="1" min="21" max="22" width="3.88"/>
    <col customWidth="1" min="23" max="23" width="8.0"/>
    <col customWidth="1" min="24" max="24" width="5.13"/>
    <col customWidth="1" min="25" max="25" width="7.63"/>
    <col customWidth="1" min="26" max="26" width="3.88"/>
  </cols>
  <sheetData>
    <row r="1">
      <c r="A1" s="1" t="str">
        <f>IFERROR(__xludf.DUMMYFUNCTION("IMPORTRANGE(""1ZPOqQHbu3GgkppWiT-MJmzSSa45xtiJhgLbHBetpC4Q"",""ALGEBRA_PF1!A1:O30"")"),"No")</f>
        <v>No</v>
      </c>
      <c r="B1" s="2" t="str">
        <f>IFERROR(__xludf.DUMMYFUNCTION("""COMPUTED_VALUE"""),"ESTUDIANTE")</f>
        <v>ESTUDIANTE</v>
      </c>
      <c r="C1" s="3" t="str">
        <f>IFERROR(__xludf.DUMMYFUNCTION("""COMPUTED_VALUE"""),"P1")</f>
        <v>P1</v>
      </c>
      <c r="D1" s="3" t="str">
        <f>IFERROR(__xludf.DUMMYFUNCTION("""COMPUTED_VALUE"""),"P2")</f>
        <v>P2</v>
      </c>
      <c r="E1" s="3" t="str">
        <f>IFERROR(__xludf.DUMMYFUNCTION("""COMPUTED_VALUE"""),"P3")</f>
        <v>P3</v>
      </c>
      <c r="F1" s="3" t="str">
        <f>IFERROR(__xludf.DUMMYFUNCTION("""COMPUTED_VALUE"""),"P4")</f>
        <v>P4</v>
      </c>
      <c r="G1" s="4" t="str">
        <f>IFERROR(__xludf.DUMMYFUNCTION("""COMPUTED_VALUE"""),"PQT")</f>
        <v>PQT</v>
      </c>
      <c r="H1" s="6" t="str">
        <f>IFERROR(__xludf.DUMMYFUNCTION("""COMPUTED_VALUE"""),"TUTOR")</f>
        <v>TUTOR</v>
      </c>
      <c r="I1" s="1" t="str">
        <f>IFERROR(__xludf.DUMMYFUNCTION("""COMPUTED_VALUE"""),"Q1")</f>
        <v>Q1</v>
      </c>
      <c r="J1" s="1" t="str">
        <f>IFERROR(__xludf.DUMMYFUNCTION("""COMPUTED_VALUE"""),"Ta1")</f>
        <v>Ta1</v>
      </c>
      <c r="K1" s="1" t="str">
        <f>IFERROR(__xludf.DUMMYFUNCTION("""COMPUTED_VALUE"""),"Tr1")</f>
        <v>Tr1</v>
      </c>
      <c r="L1" s="1" t="str">
        <f>IFERROR(__xludf.DUMMYFUNCTION("""COMPUTED_VALUE"""),"Q2")</f>
        <v>Q2</v>
      </c>
      <c r="M1" s="1"/>
      <c r="N1" s="1" t="str">
        <f>IFERROR(__xludf.DUMMYFUNCTION("""COMPUTED_VALUE"""),"FINAL")</f>
        <v>FINAL</v>
      </c>
      <c r="O1" s="1" t="str">
        <f>IFERROR(__xludf.DUMMYFUNCTION("""COMPUTED_VALUE"""),"COD")</f>
        <v>COD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8">
        <f>IFERROR(__xludf.DUMMYFUNCTION("""COMPUTED_VALUE"""),1.0)</f>
        <v>1</v>
      </c>
      <c r="B2" s="9" t="str">
        <f>IFERROR(__xludf.DUMMYFUNCTION("""COMPUTED_VALUE"""),"AFANADOR DIAZ YEFERSON STEEVEN")</f>
        <v>AFANADOR DIAZ YEFERSON STEEVEN</v>
      </c>
      <c r="C2" s="10">
        <f>IFERROR(__xludf.DUMMYFUNCTION("""COMPUTED_VALUE"""),5.0)</f>
        <v>5</v>
      </c>
      <c r="D2" s="10"/>
      <c r="E2" s="10"/>
      <c r="F2" s="10"/>
      <c r="G2" s="17">
        <f>IFERROR(__xludf.DUMMYFUNCTION("""COMPUTED_VALUE"""),5.0)</f>
        <v>5</v>
      </c>
      <c r="H2" s="19"/>
      <c r="I2" s="8">
        <f>IFERROR(__xludf.DUMMYFUNCTION("""COMPUTED_VALUE"""),5.0)</f>
        <v>5</v>
      </c>
      <c r="J2" s="8">
        <f>IFERROR(__xludf.DUMMYFUNCTION("""COMPUTED_VALUE"""),5.0)</f>
        <v>5</v>
      </c>
      <c r="K2" s="8">
        <f>IFERROR(__xludf.DUMMYFUNCTION("""COMPUTED_VALUE"""),5.0)</f>
        <v>5</v>
      </c>
      <c r="L2" s="8">
        <f>IFERROR(__xludf.DUMMYFUNCTION("""COMPUTED_VALUE"""),2.2)</f>
        <v>2.2</v>
      </c>
      <c r="M2" s="8"/>
      <c r="N2" s="20">
        <f>IFERROR(__xludf.DUMMYFUNCTION("""COMPUTED_VALUE"""),1.25)</f>
        <v>1.25</v>
      </c>
      <c r="O2" s="8">
        <f>IFERROR(__xludf.DUMMYFUNCTION("""COMPUTED_VALUE"""),2263273.0)</f>
        <v>2263273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>
        <f>IFERROR(__xludf.DUMMYFUNCTION("""COMPUTED_VALUE"""),2.0)</f>
        <v>2</v>
      </c>
      <c r="B3" s="9" t="str">
        <f>IFERROR(__xludf.DUMMYFUNCTION("""COMPUTED_VALUE"""),"ALARCON RODRIGUEZ VALERY DANIELA")</f>
        <v>ALARCON RODRIGUEZ VALERY DANIELA</v>
      </c>
      <c r="C3" s="10">
        <f>IFERROR(__xludf.DUMMYFUNCTION("""COMPUTED_VALUE"""),4.7)</f>
        <v>4.7</v>
      </c>
      <c r="D3" s="10"/>
      <c r="E3" s="10"/>
      <c r="F3" s="10"/>
      <c r="G3" s="17">
        <f>IFERROR(__xludf.DUMMYFUNCTION("""COMPUTED_VALUE"""),3.8)</f>
        <v>3.8</v>
      </c>
      <c r="H3" s="19"/>
      <c r="I3" s="8">
        <f>IFERROR(__xludf.DUMMYFUNCTION("""COMPUTED_VALUE"""),1.5)</f>
        <v>1.5</v>
      </c>
      <c r="J3" s="8">
        <f>IFERROR(__xludf.DUMMYFUNCTION("""COMPUTED_VALUE"""),1.5)</f>
        <v>1.5</v>
      </c>
      <c r="K3" s="8">
        <f>IFERROR(__xludf.DUMMYFUNCTION("""COMPUTED_VALUE"""),5.0)</f>
        <v>5</v>
      </c>
      <c r="L3" s="8">
        <f>IFERROR(__xludf.DUMMYFUNCTION("""COMPUTED_VALUE"""),1.8)</f>
        <v>1.8</v>
      </c>
      <c r="M3" s="8"/>
      <c r="N3" s="20">
        <f>IFERROR(__xludf.DUMMYFUNCTION("""COMPUTED_VALUE"""),1.085)</f>
        <v>1.085</v>
      </c>
      <c r="O3" s="8">
        <f>IFERROR(__xludf.DUMMYFUNCTION("""COMPUTED_VALUE"""),2262455.0)</f>
        <v>2262455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>
        <f>IFERROR(__xludf.DUMMYFUNCTION("""COMPUTED_VALUE"""),3.0)</f>
        <v>3</v>
      </c>
      <c r="B4" s="9" t="str">
        <f>IFERROR(__xludf.DUMMYFUNCTION("""COMPUTED_VALUE"""),"ALCOCER PORRAS CARLOS ANDRES")</f>
        <v>ALCOCER PORRAS CARLOS ANDRES</v>
      </c>
      <c r="C4" s="10">
        <f>IFERROR(__xludf.DUMMYFUNCTION("""COMPUTED_VALUE"""),5.0)</f>
        <v>5</v>
      </c>
      <c r="D4" s="10"/>
      <c r="E4" s="10"/>
      <c r="F4" s="10"/>
      <c r="G4" s="17">
        <f>IFERROR(__xludf.DUMMYFUNCTION("""COMPUTED_VALUE"""),3.8)</f>
        <v>3.8</v>
      </c>
      <c r="H4" s="19"/>
      <c r="I4" s="8">
        <f>IFERROR(__xludf.DUMMYFUNCTION("""COMPUTED_VALUE"""),5.0)</f>
        <v>5</v>
      </c>
      <c r="J4" s="8">
        <f>IFERROR(__xludf.DUMMYFUNCTION("""COMPUTED_VALUE"""),5.0)</f>
        <v>5</v>
      </c>
      <c r="K4" s="8">
        <f>IFERROR(__xludf.DUMMYFUNCTION("""COMPUTED_VALUE"""),5.0)</f>
        <v>5</v>
      </c>
      <c r="L4" s="8">
        <f>IFERROR(__xludf.DUMMYFUNCTION("""COMPUTED_VALUE"""),4.6)</f>
        <v>4.6</v>
      </c>
      <c r="M4" s="8"/>
      <c r="N4" s="20">
        <f>IFERROR(__xludf.DUMMYFUNCTION("""COMPUTED_VALUE"""),1.13)</f>
        <v>1.13</v>
      </c>
      <c r="O4" s="8">
        <f>IFERROR(__xludf.DUMMYFUNCTION("""COMPUTED_VALUE"""),2263869.0)</f>
        <v>2263869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>
        <f>IFERROR(__xludf.DUMMYFUNCTION("""COMPUTED_VALUE"""),4.0)</f>
        <v>4</v>
      </c>
      <c r="B5" s="9" t="str">
        <f>IFERROR(__xludf.DUMMYFUNCTION("""COMPUTED_VALUE"""),"ARDILA HERNANDEZ JUANITA SOFIA")</f>
        <v>ARDILA HERNANDEZ JUANITA SOFIA</v>
      </c>
      <c r="C5" s="10">
        <f>IFERROR(__xludf.DUMMYFUNCTION("""COMPUTED_VALUE"""),5.0)</f>
        <v>5</v>
      </c>
      <c r="D5" s="10"/>
      <c r="E5" s="10"/>
      <c r="F5" s="10"/>
      <c r="G5" s="17">
        <f>IFERROR(__xludf.DUMMYFUNCTION("""COMPUTED_VALUE"""),4.1)</f>
        <v>4.1</v>
      </c>
      <c r="H5" s="19"/>
      <c r="I5" s="8">
        <f>IFERROR(__xludf.DUMMYFUNCTION("""COMPUTED_VALUE"""),2.5)</f>
        <v>2.5</v>
      </c>
      <c r="J5" s="8">
        <f>IFERROR(__xludf.DUMMYFUNCTION("""COMPUTED_VALUE"""),1.8)</f>
        <v>1.8</v>
      </c>
      <c r="K5" s="8">
        <f>IFERROR(__xludf.DUMMYFUNCTION("""COMPUTED_VALUE"""),5.0)</f>
        <v>5</v>
      </c>
      <c r="L5" s="8">
        <f>IFERROR(__xludf.DUMMYFUNCTION("""COMPUTED_VALUE"""),2.5)</f>
        <v>2.5</v>
      </c>
      <c r="M5" s="8"/>
      <c r="N5" s="20">
        <f>IFERROR(__xludf.DUMMYFUNCTION("""COMPUTED_VALUE"""),1.16)</f>
        <v>1.16</v>
      </c>
      <c r="O5" s="8">
        <f>IFERROR(__xludf.DUMMYFUNCTION("""COMPUTED_VALUE"""),2263353.0)</f>
        <v>2263353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>
        <f>IFERROR(__xludf.DUMMYFUNCTION("""COMPUTED_VALUE"""),5.0)</f>
        <v>5</v>
      </c>
      <c r="B6" s="9" t="str">
        <f>IFERROR(__xludf.DUMMYFUNCTION("""COMPUTED_VALUE"""),"BALLESTEROS GUERRERO ANGEL DAVID")</f>
        <v>BALLESTEROS GUERRERO ANGEL DAVID</v>
      </c>
      <c r="C6" s="10">
        <f>IFERROR(__xludf.DUMMYFUNCTION("""COMPUTED_VALUE"""),4.4)</f>
        <v>4.4</v>
      </c>
      <c r="D6" s="10"/>
      <c r="E6" s="10"/>
      <c r="F6" s="10"/>
      <c r="G6" s="17">
        <f>IFERROR(__xludf.DUMMYFUNCTION("""COMPUTED_VALUE"""),2.9)</f>
        <v>2.9</v>
      </c>
      <c r="H6" s="19"/>
      <c r="I6" s="8">
        <f>IFERROR(__xludf.DUMMYFUNCTION("""COMPUTED_VALUE"""),3.8)</f>
        <v>3.8</v>
      </c>
      <c r="J6" s="8">
        <f>IFERROR(__xludf.DUMMYFUNCTION("""COMPUTED_VALUE"""),4.0)</f>
        <v>4</v>
      </c>
      <c r="K6" s="8">
        <f>IFERROR(__xludf.DUMMYFUNCTION("""COMPUTED_VALUE"""),0.0)</f>
        <v>0</v>
      </c>
      <c r="L6" s="8">
        <f>IFERROR(__xludf.DUMMYFUNCTION("""COMPUTED_VALUE"""),4.6)</f>
        <v>4.6</v>
      </c>
      <c r="M6" s="8"/>
      <c r="N6" s="20">
        <f>IFERROR(__xludf.DUMMYFUNCTION("""COMPUTED_VALUE"""),0.95)</f>
        <v>0.95</v>
      </c>
      <c r="O6" s="8">
        <f>IFERROR(__xludf.DUMMYFUNCTION("""COMPUTED_VALUE"""),2262736.0)</f>
        <v>2262736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>
        <f>IFERROR(__xludf.DUMMYFUNCTION("""COMPUTED_VALUE"""),6.0)</f>
        <v>6</v>
      </c>
      <c r="B7" s="9" t="str">
        <f>IFERROR(__xludf.DUMMYFUNCTION("""COMPUTED_VALUE"""),"BARRIOS SARMIENTO LUIS MIGUEL")</f>
        <v>BARRIOS SARMIENTO LUIS MIGUEL</v>
      </c>
      <c r="C7" s="10">
        <f>IFERROR(__xludf.DUMMYFUNCTION("""COMPUTED_VALUE"""),2.6)</f>
        <v>2.6</v>
      </c>
      <c r="D7" s="10"/>
      <c r="E7" s="10"/>
      <c r="F7" s="10"/>
      <c r="G7" s="17">
        <f>IFERROR(__xludf.DUMMYFUNCTION("""COMPUTED_VALUE"""),2.0)</f>
        <v>2</v>
      </c>
      <c r="H7" s="19"/>
      <c r="I7" s="8">
        <f>IFERROR(__xludf.DUMMYFUNCTION("""COMPUTED_VALUE"""),2.4)</f>
        <v>2.4</v>
      </c>
      <c r="J7" s="8">
        <f>IFERROR(__xludf.DUMMYFUNCTION("""COMPUTED_VALUE"""),1.5)</f>
        <v>1.5</v>
      </c>
      <c r="K7" s="8">
        <f>IFERROR(__xludf.DUMMYFUNCTION("""COMPUTED_VALUE"""),0.0)</f>
        <v>0</v>
      </c>
      <c r="L7" s="8">
        <f>IFERROR(__xludf.DUMMYFUNCTION("""COMPUTED_VALUE"""),3.0)</f>
        <v>3</v>
      </c>
      <c r="M7" s="8"/>
      <c r="N7" s="20">
        <f>IFERROR(__xludf.DUMMYFUNCTION("""COMPUTED_VALUE"""),0.5900000000000001)</f>
        <v>0.59</v>
      </c>
      <c r="O7" s="8">
        <f>IFERROR(__xludf.DUMMYFUNCTION("""COMPUTED_VALUE"""),2263757.0)</f>
        <v>2263757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>
        <f>IFERROR(__xludf.DUMMYFUNCTION("""COMPUTED_VALUE"""),7.0)</f>
        <v>7</v>
      </c>
      <c r="B8" s="9" t="str">
        <f>IFERROR(__xludf.DUMMYFUNCTION("""COMPUTED_VALUE"""),"BELTRAN MALDONADO ROGERIO ORLANDO")</f>
        <v>BELTRAN MALDONADO ROGERIO ORLANDO</v>
      </c>
      <c r="C8" s="10">
        <f>IFERROR(__xludf.DUMMYFUNCTION("""COMPUTED_VALUE"""),5.0)</f>
        <v>5</v>
      </c>
      <c r="D8" s="10"/>
      <c r="E8" s="10"/>
      <c r="F8" s="10"/>
      <c r="G8" s="17">
        <f>IFERROR(__xludf.DUMMYFUNCTION("""COMPUTED_VALUE"""),3.1)</f>
        <v>3.1</v>
      </c>
      <c r="H8" s="19"/>
      <c r="I8" s="8">
        <f>IFERROR(__xludf.DUMMYFUNCTION("""COMPUTED_VALUE"""),5.0)</f>
        <v>5</v>
      </c>
      <c r="J8" s="8">
        <f>IFERROR(__xludf.DUMMYFUNCTION("""COMPUTED_VALUE"""),4.7)</f>
        <v>4.7</v>
      </c>
      <c r="K8" s="8">
        <f>IFERROR(__xludf.DUMMYFUNCTION("""COMPUTED_VALUE"""),5.0)</f>
        <v>5</v>
      </c>
      <c r="L8" s="8">
        <f>IFERROR(__xludf.DUMMYFUNCTION("""COMPUTED_VALUE"""),4.6)</f>
        <v>4.6</v>
      </c>
      <c r="M8" s="8"/>
      <c r="N8" s="20">
        <f>IFERROR(__xludf.DUMMYFUNCTION("""COMPUTED_VALUE"""),1.06)</f>
        <v>1.06</v>
      </c>
      <c r="O8" s="8">
        <f>IFERROR(__xludf.DUMMYFUNCTION("""COMPUTED_VALUE"""),2263232.0)</f>
        <v>2263232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>
        <f>IFERROR(__xludf.DUMMYFUNCTION("""COMPUTED_VALUE"""),8.0)</f>
        <v>8</v>
      </c>
      <c r="B9" s="9" t="str">
        <f>IFERROR(__xludf.DUMMYFUNCTION("""COMPUTED_VALUE"""),"CAMARGO GUEVARA DANNA GABRIELA")</f>
        <v>CAMARGO GUEVARA DANNA GABRIELA</v>
      </c>
      <c r="C9" s="10">
        <f>IFERROR(__xludf.DUMMYFUNCTION("""COMPUTED_VALUE"""),5.0)</f>
        <v>5</v>
      </c>
      <c r="D9" s="10"/>
      <c r="E9" s="10"/>
      <c r="F9" s="10"/>
      <c r="G9" s="17">
        <f>IFERROR(__xludf.DUMMYFUNCTION("""COMPUTED_VALUE"""),5.0)</f>
        <v>5</v>
      </c>
      <c r="H9" s="19"/>
      <c r="I9" s="8">
        <f>IFERROR(__xludf.DUMMYFUNCTION("""COMPUTED_VALUE"""),5.0)</f>
        <v>5</v>
      </c>
      <c r="J9" s="8">
        <f>IFERROR(__xludf.DUMMYFUNCTION("""COMPUTED_VALUE"""),5.0)</f>
        <v>5</v>
      </c>
      <c r="K9" s="8">
        <f>IFERROR(__xludf.DUMMYFUNCTION("""COMPUTED_VALUE"""),5.0)</f>
        <v>5</v>
      </c>
      <c r="L9" s="8">
        <f>IFERROR(__xludf.DUMMYFUNCTION("""COMPUTED_VALUE"""),3.5)</f>
        <v>3.5</v>
      </c>
      <c r="M9" s="8"/>
      <c r="N9" s="20">
        <f>IFERROR(__xludf.DUMMYFUNCTION("""COMPUTED_VALUE"""),1.25)</f>
        <v>1.25</v>
      </c>
      <c r="O9" s="8">
        <f>IFERROR(__xludf.DUMMYFUNCTION("""COMPUTED_VALUE"""),2263282.0)</f>
        <v>2263282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>
        <f>IFERROR(__xludf.DUMMYFUNCTION("""COMPUTED_VALUE"""),9.0)</f>
        <v>9</v>
      </c>
      <c r="B10" s="9" t="str">
        <f>IFERROR(__xludf.DUMMYFUNCTION("""COMPUTED_VALUE"""),"CUIDA PACHON KEVIN STIVEN")</f>
        <v>CUIDA PACHON KEVIN STIVEN</v>
      </c>
      <c r="C10" s="10">
        <f>IFERROR(__xludf.DUMMYFUNCTION("""COMPUTED_VALUE"""),3.7)</f>
        <v>3.7</v>
      </c>
      <c r="D10" s="10"/>
      <c r="E10" s="10"/>
      <c r="F10" s="10"/>
      <c r="G10" s="17">
        <f>IFERROR(__xludf.DUMMYFUNCTION("""COMPUTED_VALUE"""),4.0)</f>
        <v>4</v>
      </c>
      <c r="H10" s="19"/>
      <c r="I10" s="8">
        <f>IFERROR(__xludf.DUMMYFUNCTION("""COMPUTED_VALUE"""),1.0)</f>
        <v>1</v>
      </c>
      <c r="J10" s="8">
        <f>IFERROR(__xludf.DUMMYFUNCTION("""COMPUTED_VALUE"""),3.0)</f>
        <v>3</v>
      </c>
      <c r="K10" s="8">
        <f>IFERROR(__xludf.DUMMYFUNCTION("""COMPUTED_VALUE"""),5.0)</f>
        <v>5</v>
      </c>
      <c r="L10" s="8">
        <f>IFERROR(__xludf.DUMMYFUNCTION("""COMPUTED_VALUE"""),4.6)</f>
        <v>4.6</v>
      </c>
      <c r="M10" s="8"/>
      <c r="N10" s="20">
        <f>IFERROR(__xludf.DUMMYFUNCTION("""COMPUTED_VALUE"""),0.9550000000000001)</f>
        <v>0.955</v>
      </c>
      <c r="O10" s="8">
        <f>IFERROR(__xludf.DUMMYFUNCTION("""COMPUTED_VALUE"""),2263365.0)</f>
        <v>2263365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>
        <f>IFERROR(__xludf.DUMMYFUNCTION("""COMPUTED_VALUE"""),10.0)</f>
        <v>10</v>
      </c>
      <c r="B11" s="9" t="str">
        <f>IFERROR(__xludf.DUMMYFUNCTION("""COMPUTED_VALUE"""),"DIAZ ROJAS DUVAN DANIEL")</f>
        <v>DIAZ ROJAS DUVAN DANIEL</v>
      </c>
      <c r="C11" s="10">
        <f>IFERROR(__xludf.DUMMYFUNCTION("""COMPUTED_VALUE"""),3.2)</f>
        <v>3.2</v>
      </c>
      <c r="D11" s="10"/>
      <c r="E11" s="10"/>
      <c r="F11" s="10"/>
      <c r="G11" s="17">
        <f>IFERROR(__xludf.DUMMYFUNCTION("""COMPUTED_VALUE"""),3.1)</f>
        <v>3.1</v>
      </c>
      <c r="H11" s="19"/>
      <c r="I11" s="8">
        <f>IFERROR(__xludf.DUMMYFUNCTION("""COMPUTED_VALUE"""),2.0)</f>
        <v>2</v>
      </c>
      <c r="J11" s="8">
        <f>IFERROR(__xludf.DUMMYFUNCTION("""COMPUTED_VALUE"""),2.6)</f>
        <v>2.6</v>
      </c>
      <c r="K11" s="8">
        <f>IFERROR(__xludf.DUMMYFUNCTION("""COMPUTED_VALUE"""),5.0)</f>
        <v>5</v>
      </c>
      <c r="L11" s="8">
        <f>IFERROR(__xludf.DUMMYFUNCTION("""COMPUTED_VALUE"""),3.1)</f>
        <v>3.1</v>
      </c>
      <c r="M11" s="8"/>
      <c r="N11" s="20">
        <f>IFERROR(__xludf.DUMMYFUNCTION("""COMPUTED_VALUE"""),0.79)</f>
        <v>0.79</v>
      </c>
      <c r="O11" s="8">
        <f>IFERROR(__xludf.DUMMYFUNCTION("""COMPUTED_VALUE"""),2263694.0)</f>
        <v>2263694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>
        <f>IFERROR(__xludf.DUMMYFUNCTION("""COMPUTED_VALUE"""),11.0)</f>
        <v>11</v>
      </c>
      <c r="B12" s="9" t="str">
        <f>IFERROR(__xludf.DUMMYFUNCTION("""COMPUTED_VALUE"""),"FERRUCHO SALAZAR JHOAN SEBASTIAN")</f>
        <v>FERRUCHO SALAZAR JHOAN SEBASTIAN</v>
      </c>
      <c r="C12" s="10">
        <f>IFERROR(__xludf.DUMMYFUNCTION("""COMPUTED_VALUE"""),3.5)</f>
        <v>3.5</v>
      </c>
      <c r="D12" s="10"/>
      <c r="E12" s="10"/>
      <c r="F12" s="10"/>
      <c r="G12" s="17">
        <f>IFERROR(__xludf.DUMMYFUNCTION("""COMPUTED_VALUE"""),2.9)</f>
        <v>2.9</v>
      </c>
      <c r="H12" s="19"/>
      <c r="I12" s="8">
        <f>IFERROR(__xludf.DUMMYFUNCTION("""COMPUTED_VALUE"""),0.0)</f>
        <v>0</v>
      </c>
      <c r="J12" s="8"/>
      <c r="K12" s="8">
        <f>IFERROR(__xludf.DUMMYFUNCTION("""COMPUTED_VALUE"""),5.0)</f>
        <v>5</v>
      </c>
      <c r="L12" s="8">
        <f>IFERROR(__xludf.DUMMYFUNCTION("""COMPUTED_VALUE"""),3.5)</f>
        <v>3.5</v>
      </c>
      <c r="M12" s="8"/>
      <c r="N12" s="20">
        <f>IFERROR(__xludf.DUMMYFUNCTION("""COMPUTED_VALUE"""),0.815)</f>
        <v>0.815</v>
      </c>
      <c r="O12" s="8">
        <f>IFERROR(__xludf.DUMMYFUNCTION("""COMPUTED_VALUE"""),2262114.0)</f>
        <v>2262114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>
        <f>IFERROR(__xludf.DUMMYFUNCTION("""COMPUTED_VALUE"""),12.0)</f>
        <v>12</v>
      </c>
      <c r="B13" s="9" t="str">
        <f>IFERROR(__xludf.DUMMYFUNCTION("""COMPUTED_VALUE"""),"FLOREZ ACERO JOSE DAVID")</f>
        <v>FLOREZ ACERO JOSE DAVID</v>
      </c>
      <c r="C13" s="10">
        <f>IFERROR(__xludf.DUMMYFUNCTION("""COMPUTED_VALUE"""),5.0)</f>
        <v>5</v>
      </c>
      <c r="D13" s="10"/>
      <c r="E13" s="10"/>
      <c r="F13" s="10"/>
      <c r="G13" s="17">
        <f>IFERROR(__xludf.DUMMYFUNCTION("""COMPUTED_VALUE"""),3.5)</f>
        <v>3.5</v>
      </c>
      <c r="H13" s="19"/>
      <c r="I13" s="8">
        <f>IFERROR(__xludf.DUMMYFUNCTION("""COMPUTED_VALUE"""),3.8)</f>
        <v>3.8</v>
      </c>
      <c r="J13" s="8">
        <f>IFERROR(__xludf.DUMMYFUNCTION("""COMPUTED_VALUE"""),3.5)</f>
        <v>3.5</v>
      </c>
      <c r="K13" s="8">
        <f>IFERROR(__xludf.DUMMYFUNCTION("""COMPUTED_VALUE"""),5.0)</f>
        <v>5</v>
      </c>
      <c r="L13" s="8">
        <f>IFERROR(__xludf.DUMMYFUNCTION("""COMPUTED_VALUE"""),2.2)</f>
        <v>2.2</v>
      </c>
      <c r="M13" s="8"/>
      <c r="N13" s="20">
        <f>IFERROR(__xludf.DUMMYFUNCTION("""COMPUTED_VALUE"""),1.1)</f>
        <v>1.1</v>
      </c>
      <c r="O13" s="8">
        <f>IFERROR(__xludf.DUMMYFUNCTION("""COMPUTED_VALUE"""),2263473.0)</f>
        <v>2263473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>
        <f>IFERROR(__xludf.DUMMYFUNCTION("""COMPUTED_VALUE"""),13.0)</f>
        <v>13</v>
      </c>
      <c r="B14" s="9" t="str">
        <f>IFERROR(__xludf.DUMMYFUNCTION("""COMPUTED_VALUE"""),"FLOREZ DIAZ SEBASTIAN ANDRES")</f>
        <v>FLOREZ DIAZ SEBASTIAN ANDRES</v>
      </c>
      <c r="C14" s="10">
        <f>IFERROR(__xludf.DUMMYFUNCTION("""COMPUTED_VALUE"""),3.0)</f>
        <v>3</v>
      </c>
      <c r="D14" s="10"/>
      <c r="E14" s="10"/>
      <c r="F14" s="10"/>
      <c r="G14" s="17">
        <f>IFERROR(__xludf.DUMMYFUNCTION("""COMPUTED_VALUE"""),3.3)</f>
        <v>3.3</v>
      </c>
      <c r="H14" s="19"/>
      <c r="I14" s="8">
        <f>IFERROR(__xludf.DUMMYFUNCTION("""COMPUTED_VALUE"""),3.8)</f>
        <v>3.8</v>
      </c>
      <c r="J14" s="8">
        <f>IFERROR(__xludf.DUMMYFUNCTION("""COMPUTED_VALUE"""),3.5)</f>
        <v>3.5</v>
      </c>
      <c r="K14" s="8">
        <f>IFERROR(__xludf.DUMMYFUNCTION("""COMPUTED_VALUE"""),0.0)</f>
        <v>0</v>
      </c>
      <c r="L14" s="8">
        <f>IFERROR(__xludf.DUMMYFUNCTION("""COMPUTED_VALUE"""),2.5)</f>
        <v>2.5</v>
      </c>
      <c r="M14" s="8"/>
      <c r="N14" s="20">
        <f>IFERROR(__xludf.DUMMYFUNCTION("""COMPUTED_VALUE"""),0.78)</f>
        <v>0.78</v>
      </c>
      <c r="O14" s="8">
        <f>IFERROR(__xludf.DUMMYFUNCTION("""COMPUTED_VALUE"""),2263793.0)</f>
        <v>2263793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>
        <f>IFERROR(__xludf.DUMMYFUNCTION("""COMPUTED_VALUE"""),14.0)</f>
        <v>14</v>
      </c>
      <c r="B15" s="9" t="str">
        <f>IFERROR(__xludf.DUMMYFUNCTION("""COMPUTED_VALUE"""),"GRIMALDOS CHANAGA ALVARO JOSE")</f>
        <v>GRIMALDOS CHANAGA ALVARO JOSE</v>
      </c>
      <c r="C15" s="10">
        <f>IFERROR(__xludf.DUMMYFUNCTION("""COMPUTED_VALUE"""),3.0)</f>
        <v>3</v>
      </c>
      <c r="D15" s="10"/>
      <c r="E15" s="10"/>
      <c r="F15" s="10"/>
      <c r="G15" s="17">
        <f>IFERROR(__xludf.DUMMYFUNCTION("""COMPUTED_VALUE"""),3.6)</f>
        <v>3.6</v>
      </c>
      <c r="H15" s="19"/>
      <c r="I15" s="8">
        <f>IFERROR(__xludf.DUMMYFUNCTION("""COMPUTED_VALUE"""),5.0)</f>
        <v>5</v>
      </c>
      <c r="J15" s="8">
        <f>IFERROR(__xludf.DUMMYFUNCTION("""COMPUTED_VALUE"""),4.0)</f>
        <v>4</v>
      </c>
      <c r="K15" s="8">
        <f>IFERROR(__xludf.DUMMYFUNCTION("""COMPUTED_VALUE"""),5.0)</f>
        <v>5</v>
      </c>
      <c r="L15" s="8">
        <f>IFERROR(__xludf.DUMMYFUNCTION("""COMPUTED_VALUE"""),3.5)</f>
        <v>3.5</v>
      </c>
      <c r="M15" s="8"/>
      <c r="N15" s="20">
        <f>IFERROR(__xludf.DUMMYFUNCTION("""COMPUTED_VALUE"""),0.81)</f>
        <v>0.81</v>
      </c>
      <c r="O15" s="8">
        <f>IFERROR(__xludf.DUMMYFUNCTION("""COMPUTED_VALUE"""),2263432.0)</f>
        <v>2263432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>
        <f>IFERROR(__xludf.DUMMYFUNCTION("""COMPUTED_VALUE"""),15.0)</f>
        <v>15</v>
      </c>
      <c r="B16" s="9" t="str">
        <f>IFERROR(__xludf.DUMMYFUNCTION("""COMPUTED_VALUE"""),"GUERRERO ARIAS JULIAN DAVID")</f>
        <v>GUERRERO ARIAS JULIAN DAVID</v>
      </c>
      <c r="C16" s="10">
        <f>IFERROR(__xludf.DUMMYFUNCTION("""COMPUTED_VALUE"""),4.9)</f>
        <v>4.9</v>
      </c>
      <c r="D16" s="10"/>
      <c r="E16" s="10"/>
      <c r="F16" s="10"/>
      <c r="G16" s="17">
        <f>IFERROR(__xludf.DUMMYFUNCTION("""COMPUTED_VALUE"""),3.6)</f>
        <v>3.6</v>
      </c>
      <c r="H16" s="19"/>
      <c r="I16" s="8">
        <f>IFERROR(__xludf.DUMMYFUNCTION("""COMPUTED_VALUE"""),3.8)</f>
        <v>3.8</v>
      </c>
      <c r="J16" s="8">
        <f>IFERROR(__xludf.DUMMYFUNCTION("""COMPUTED_VALUE"""),3.5)</f>
        <v>3.5</v>
      </c>
      <c r="K16" s="8">
        <f>IFERROR(__xludf.DUMMYFUNCTION("""COMPUTED_VALUE"""),0.0)</f>
        <v>0</v>
      </c>
      <c r="L16" s="8">
        <f>IFERROR(__xludf.DUMMYFUNCTION("""COMPUTED_VALUE"""),3.1)</f>
        <v>3.1</v>
      </c>
      <c r="M16" s="8"/>
      <c r="N16" s="20">
        <f>IFERROR(__xludf.DUMMYFUNCTION("""COMPUTED_VALUE"""),1.095)</f>
        <v>1.095</v>
      </c>
      <c r="O16" s="8">
        <f>IFERROR(__xludf.DUMMYFUNCTION("""COMPUTED_VALUE"""),2263754.0)</f>
        <v>2263754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>
        <f>IFERROR(__xludf.DUMMYFUNCTION("""COMPUTED_VALUE"""),16.0)</f>
        <v>16</v>
      </c>
      <c r="B17" s="9" t="str">
        <f>IFERROR(__xludf.DUMMYFUNCTION("""COMPUTED_VALUE"""),"GUERRERO BAUTISTA BRAYAN STIVEN")</f>
        <v>GUERRERO BAUTISTA BRAYAN STIVEN</v>
      </c>
      <c r="C17" s="10">
        <f>IFERROR(__xludf.DUMMYFUNCTION("""COMPUTED_VALUE"""),5.0)</f>
        <v>5</v>
      </c>
      <c r="D17" s="10"/>
      <c r="E17" s="10"/>
      <c r="F17" s="10"/>
      <c r="G17" s="17">
        <f>IFERROR(__xludf.DUMMYFUNCTION("""COMPUTED_VALUE"""),2.9)</f>
        <v>2.9</v>
      </c>
      <c r="H17" s="19"/>
      <c r="I17" s="8">
        <f>IFERROR(__xludf.DUMMYFUNCTION("""COMPUTED_VALUE"""),5.0)</f>
        <v>5</v>
      </c>
      <c r="J17" s="8">
        <f>IFERROR(__xludf.DUMMYFUNCTION("""COMPUTED_VALUE"""),4.8)</f>
        <v>4.8</v>
      </c>
      <c r="K17" s="8">
        <f>IFERROR(__xludf.DUMMYFUNCTION("""COMPUTED_VALUE"""),0.0)</f>
        <v>0</v>
      </c>
      <c r="L17" s="8">
        <f>IFERROR(__xludf.DUMMYFUNCTION("""COMPUTED_VALUE"""),4.6)</f>
        <v>4.6</v>
      </c>
      <c r="M17" s="8"/>
      <c r="N17" s="20">
        <f>IFERROR(__xludf.DUMMYFUNCTION("""COMPUTED_VALUE"""),1.04)</f>
        <v>1.04</v>
      </c>
      <c r="O17" s="8">
        <f>IFERROR(__xludf.DUMMYFUNCTION("""COMPUTED_VALUE"""),2263534.0)</f>
        <v>2263534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>
        <f>IFERROR(__xludf.DUMMYFUNCTION("""COMPUTED_VALUE"""),17.0)</f>
        <v>17</v>
      </c>
      <c r="B18" s="9" t="str">
        <f>IFERROR(__xludf.DUMMYFUNCTION("""COMPUTED_VALUE"""),"HERNANDEZ AYALA DANNA VALERIA")</f>
        <v>HERNANDEZ AYALA DANNA VALERIA</v>
      </c>
      <c r="C18" s="10">
        <f>IFERROR(__xludf.DUMMYFUNCTION("""COMPUTED_VALUE"""),4.2)</f>
        <v>4.2</v>
      </c>
      <c r="D18" s="10"/>
      <c r="E18" s="10"/>
      <c r="F18" s="10"/>
      <c r="G18" s="17">
        <f>IFERROR(__xludf.DUMMYFUNCTION("""COMPUTED_VALUE"""),3.2)</f>
        <v>3.2</v>
      </c>
      <c r="H18" s="19"/>
      <c r="I18" s="8">
        <f>IFERROR(__xludf.DUMMYFUNCTION("""COMPUTED_VALUE"""),2.0)</f>
        <v>2</v>
      </c>
      <c r="J18" s="8">
        <f>IFERROR(__xludf.DUMMYFUNCTION("""COMPUTED_VALUE"""),2.6)</f>
        <v>2.6</v>
      </c>
      <c r="K18" s="8">
        <f>IFERROR(__xludf.DUMMYFUNCTION("""COMPUTED_VALUE"""),5.0)</f>
        <v>5</v>
      </c>
      <c r="L18" s="8">
        <f>IFERROR(__xludf.DUMMYFUNCTION("""COMPUTED_VALUE"""),3.1)</f>
        <v>3.1</v>
      </c>
      <c r="M18" s="8"/>
      <c r="N18" s="20">
        <f>IFERROR(__xludf.DUMMYFUNCTION("""COMPUTED_VALUE"""),0.9500000000000001)</f>
        <v>0.95</v>
      </c>
      <c r="O18" s="8">
        <f>IFERROR(__xludf.DUMMYFUNCTION("""COMPUTED_VALUE"""),2263427.0)</f>
        <v>2263427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>
        <f>IFERROR(__xludf.DUMMYFUNCTION("""COMPUTED_VALUE"""),18.0)</f>
        <v>18</v>
      </c>
      <c r="B19" s="9" t="str">
        <f>IFERROR(__xludf.DUMMYFUNCTION("""COMPUTED_VALUE"""),"LUNA GALVIS IVAN")</f>
        <v>LUNA GALVIS IVAN</v>
      </c>
      <c r="C19" s="10">
        <f>IFERROR(__xludf.DUMMYFUNCTION("""COMPUTED_VALUE"""),4.9)</f>
        <v>4.9</v>
      </c>
      <c r="D19" s="10"/>
      <c r="E19" s="10"/>
      <c r="F19" s="10"/>
      <c r="G19" s="17">
        <f>IFERROR(__xludf.DUMMYFUNCTION("""COMPUTED_VALUE"""),3.7)</f>
        <v>3.7</v>
      </c>
      <c r="H19" s="19"/>
      <c r="I19" s="8">
        <f>IFERROR(__xludf.DUMMYFUNCTION("""COMPUTED_VALUE"""),3.8)</f>
        <v>3.8</v>
      </c>
      <c r="J19" s="8">
        <f>IFERROR(__xludf.DUMMYFUNCTION("""COMPUTED_VALUE"""),3.5)</f>
        <v>3.5</v>
      </c>
      <c r="K19" s="8">
        <f>IFERROR(__xludf.DUMMYFUNCTION("""COMPUTED_VALUE"""),5.0)</f>
        <v>5</v>
      </c>
      <c r="L19" s="8">
        <f>IFERROR(__xludf.DUMMYFUNCTION("""COMPUTED_VALUE"""),4.6)</f>
        <v>4.6</v>
      </c>
      <c r="M19" s="8"/>
      <c r="N19" s="20">
        <f>IFERROR(__xludf.DUMMYFUNCTION("""COMPUTED_VALUE"""),1.105)</f>
        <v>1.105</v>
      </c>
      <c r="O19" s="8">
        <f>IFERROR(__xludf.DUMMYFUNCTION("""COMPUTED_VALUE"""),2263375.0)</f>
        <v>2263375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>
        <f>IFERROR(__xludf.DUMMYFUNCTION("""COMPUTED_VALUE"""),19.0)</f>
        <v>19</v>
      </c>
      <c r="B20" s="9" t="str">
        <f>IFERROR(__xludf.DUMMYFUNCTION("""COMPUTED_VALUE"""),"MANTILLA CARREÑO JHOAN ORLANDO")</f>
        <v>MANTILLA CARREÑO JHOAN ORLANDO</v>
      </c>
      <c r="C20" s="10">
        <f>IFERROR(__xludf.DUMMYFUNCTION("""COMPUTED_VALUE"""),5.0)</f>
        <v>5</v>
      </c>
      <c r="D20" s="10"/>
      <c r="E20" s="10"/>
      <c r="F20" s="10"/>
      <c r="G20" s="17">
        <f>IFERROR(__xludf.DUMMYFUNCTION("""COMPUTED_VALUE"""),3.6)</f>
        <v>3.6</v>
      </c>
      <c r="H20" s="19"/>
      <c r="I20" s="8">
        <f>IFERROR(__xludf.DUMMYFUNCTION("""COMPUTED_VALUE"""),5.0)</f>
        <v>5</v>
      </c>
      <c r="J20" s="8">
        <f>IFERROR(__xludf.DUMMYFUNCTION("""COMPUTED_VALUE"""),4.0)</f>
        <v>4</v>
      </c>
      <c r="K20" s="8">
        <f>IFERROR(__xludf.DUMMYFUNCTION("""COMPUTED_VALUE"""),0.0)</f>
        <v>0</v>
      </c>
      <c r="L20" s="8">
        <f>IFERROR(__xludf.DUMMYFUNCTION("""COMPUTED_VALUE"""),1.7)</f>
        <v>1.7</v>
      </c>
      <c r="M20" s="8"/>
      <c r="N20" s="20">
        <f>IFERROR(__xludf.DUMMYFUNCTION("""COMPUTED_VALUE"""),1.11)</f>
        <v>1.11</v>
      </c>
      <c r="O20" s="8">
        <f>IFERROR(__xludf.DUMMYFUNCTION("""COMPUTED_VALUE"""),2263410.0)</f>
        <v>2263410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>
        <f>IFERROR(__xludf.DUMMYFUNCTION("""COMPUTED_VALUE"""),20.0)</f>
        <v>20</v>
      </c>
      <c r="B21" s="9" t="str">
        <f>IFERROR(__xludf.DUMMYFUNCTION("""COMPUTED_VALUE"""),"MANTILLA MANTILLA JERONIMO ANDRES")</f>
        <v>MANTILLA MANTILLA JERONIMO ANDRES</v>
      </c>
      <c r="C21" s="10">
        <f>IFERROR(__xludf.DUMMYFUNCTION("""COMPUTED_VALUE"""),2.4)</f>
        <v>2.4</v>
      </c>
      <c r="D21" s="10"/>
      <c r="E21" s="10"/>
      <c r="F21" s="10"/>
      <c r="G21" s="17">
        <f>IFERROR(__xludf.DUMMYFUNCTION("""COMPUTED_VALUE"""),2.6)</f>
        <v>2.6</v>
      </c>
      <c r="H21" s="19"/>
      <c r="I21" s="8">
        <f>IFERROR(__xludf.DUMMYFUNCTION("""COMPUTED_VALUE"""),2.4)</f>
        <v>2.4</v>
      </c>
      <c r="J21" s="8">
        <f>IFERROR(__xludf.DUMMYFUNCTION("""COMPUTED_VALUE"""),4.3)</f>
        <v>4.3</v>
      </c>
      <c r="K21" s="8">
        <f>IFERROR(__xludf.DUMMYFUNCTION("""COMPUTED_VALUE"""),0.0)</f>
        <v>0</v>
      </c>
      <c r="L21" s="8">
        <f>IFERROR(__xludf.DUMMYFUNCTION("""COMPUTED_VALUE"""),4.6)</f>
        <v>4.6</v>
      </c>
      <c r="M21" s="8"/>
      <c r="N21" s="20">
        <f>IFERROR(__xludf.DUMMYFUNCTION("""COMPUTED_VALUE"""),0.62)</f>
        <v>0.62</v>
      </c>
      <c r="O21" s="8">
        <f>IFERROR(__xludf.DUMMYFUNCTION("""COMPUTED_VALUE"""),2263347.0)</f>
        <v>2263347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>
        <f>IFERROR(__xludf.DUMMYFUNCTION("""COMPUTED_VALUE"""),21.0)</f>
        <v>21</v>
      </c>
      <c r="B22" s="9" t="str">
        <f>IFERROR(__xludf.DUMMYFUNCTION("""COMPUTED_VALUE"""),"MARIN LOZANO EMANUEL")</f>
        <v>MARIN LOZANO EMANUEL</v>
      </c>
      <c r="C22" s="10">
        <f>IFERROR(__xludf.DUMMYFUNCTION("""COMPUTED_VALUE"""),4.4)</f>
        <v>4.4</v>
      </c>
      <c r="D22" s="10"/>
      <c r="E22" s="10"/>
      <c r="F22" s="10"/>
      <c r="G22" s="17">
        <f>IFERROR(__xludf.DUMMYFUNCTION("""COMPUTED_VALUE"""),3.3)</f>
        <v>3.3</v>
      </c>
      <c r="H22" s="19"/>
      <c r="I22" s="8">
        <f>IFERROR(__xludf.DUMMYFUNCTION("""COMPUTED_VALUE"""),4.0)</f>
        <v>4</v>
      </c>
      <c r="J22" s="8">
        <f>IFERROR(__xludf.DUMMYFUNCTION("""COMPUTED_VALUE"""),4.3)</f>
        <v>4.3</v>
      </c>
      <c r="K22" s="8">
        <f>IFERROR(__xludf.DUMMYFUNCTION("""COMPUTED_VALUE"""),5.0)</f>
        <v>5</v>
      </c>
      <c r="L22" s="8">
        <f>IFERROR(__xludf.DUMMYFUNCTION("""COMPUTED_VALUE"""),4.6)</f>
        <v>4.6</v>
      </c>
      <c r="M22" s="8"/>
      <c r="N22" s="20">
        <f>IFERROR(__xludf.DUMMYFUNCTION("""COMPUTED_VALUE"""),0.99)</f>
        <v>0.99</v>
      </c>
      <c r="O22" s="8">
        <f>IFERROR(__xludf.DUMMYFUNCTION("""COMPUTED_VALUE"""),2263911.0)</f>
        <v>2263911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>
        <f>IFERROR(__xludf.DUMMYFUNCTION("""COMPUTED_VALUE"""),22.0)</f>
        <v>22</v>
      </c>
      <c r="B23" s="9" t="str">
        <f>IFERROR(__xludf.DUMMYFUNCTION("""COMPUTED_VALUE"""),"MORENO CASTRO JAIDER ANDRES")</f>
        <v>MORENO CASTRO JAIDER ANDRES</v>
      </c>
      <c r="C23" s="10">
        <f>IFERROR(__xludf.DUMMYFUNCTION("""COMPUTED_VALUE"""),2.8)</f>
        <v>2.8</v>
      </c>
      <c r="D23" s="10"/>
      <c r="E23" s="10"/>
      <c r="F23" s="10"/>
      <c r="G23" s="17">
        <f>IFERROR(__xludf.DUMMYFUNCTION("""COMPUTED_VALUE"""),4.1)</f>
        <v>4.1</v>
      </c>
      <c r="H23" s="19"/>
      <c r="I23" s="8">
        <f>IFERROR(__xludf.DUMMYFUNCTION("""COMPUTED_VALUE"""),5.0)</f>
        <v>5</v>
      </c>
      <c r="J23" s="8">
        <f>IFERROR(__xludf.DUMMYFUNCTION("""COMPUTED_VALUE"""),1.5)</f>
        <v>1.5</v>
      </c>
      <c r="K23" s="8">
        <f>IFERROR(__xludf.DUMMYFUNCTION("""COMPUTED_VALUE"""),5.0)</f>
        <v>5</v>
      </c>
      <c r="L23" s="8">
        <f>IFERROR(__xludf.DUMMYFUNCTION("""COMPUTED_VALUE"""),3.1)</f>
        <v>3.1</v>
      </c>
      <c r="M23" s="8"/>
      <c r="N23" s="20">
        <f>IFERROR(__xludf.DUMMYFUNCTION("""COMPUTED_VALUE"""),0.83)</f>
        <v>0.83</v>
      </c>
      <c r="O23" s="8">
        <f>IFERROR(__xludf.DUMMYFUNCTION("""COMPUTED_VALUE"""),2263685.0)</f>
        <v>2263685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>
        <f>IFERROR(__xludf.DUMMYFUNCTION("""COMPUTED_VALUE"""),23.0)</f>
        <v>23</v>
      </c>
      <c r="B24" s="9" t="str">
        <f>IFERROR(__xludf.DUMMYFUNCTION("""COMPUTED_VALUE"""),"MORENO FIGUEROA WALTER GIOVANNY")</f>
        <v>MORENO FIGUEROA WALTER GIOVANNY</v>
      </c>
      <c r="C24" s="10">
        <f>IFERROR(__xludf.DUMMYFUNCTION("""COMPUTED_VALUE"""),5.0)</f>
        <v>5</v>
      </c>
      <c r="D24" s="10"/>
      <c r="E24" s="10"/>
      <c r="F24" s="10"/>
      <c r="G24" s="17">
        <f>IFERROR(__xludf.DUMMYFUNCTION("""COMPUTED_VALUE"""),4.1)</f>
        <v>4.1</v>
      </c>
      <c r="H24" s="19"/>
      <c r="I24" s="8">
        <f>IFERROR(__xludf.DUMMYFUNCTION("""COMPUTED_VALUE"""),3.8)</f>
        <v>3.8</v>
      </c>
      <c r="J24" s="8">
        <f>IFERROR(__xludf.DUMMYFUNCTION("""COMPUTED_VALUE"""),4.5)</f>
        <v>4.5</v>
      </c>
      <c r="K24" s="8">
        <f>IFERROR(__xludf.DUMMYFUNCTION("""COMPUTED_VALUE"""),5.0)</f>
        <v>5</v>
      </c>
      <c r="L24" s="8">
        <f>IFERROR(__xludf.DUMMYFUNCTION("""COMPUTED_VALUE"""),4.8)</f>
        <v>4.8</v>
      </c>
      <c r="M24" s="8"/>
      <c r="N24" s="20">
        <f>IFERROR(__xludf.DUMMYFUNCTION("""COMPUTED_VALUE"""),1.16)</f>
        <v>1.16</v>
      </c>
      <c r="O24" s="8">
        <f>IFERROR(__xludf.DUMMYFUNCTION("""COMPUTED_VALUE"""),2263572.0)</f>
        <v>2263572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>
        <f>IFERROR(__xludf.DUMMYFUNCTION("""COMPUTED_VALUE"""),24.0)</f>
        <v>24</v>
      </c>
      <c r="B25" s="9" t="str">
        <f>IFERROR(__xludf.DUMMYFUNCTION("""COMPUTED_VALUE"""),"PLATA MANTILLA JHON EMERSON")</f>
        <v>PLATA MANTILLA JHON EMERSON</v>
      </c>
      <c r="C25" s="10">
        <f>IFERROR(__xludf.DUMMYFUNCTION("""COMPUTED_VALUE"""),5.0)</f>
        <v>5</v>
      </c>
      <c r="D25" s="10"/>
      <c r="E25" s="10"/>
      <c r="F25" s="10"/>
      <c r="G25" s="17">
        <f>IFERROR(__xludf.DUMMYFUNCTION("""COMPUTED_VALUE"""),4.7)</f>
        <v>4.7</v>
      </c>
      <c r="H25" s="19"/>
      <c r="I25" s="8">
        <f>IFERROR(__xludf.DUMMYFUNCTION("""COMPUTED_VALUE"""),5.0)</f>
        <v>5</v>
      </c>
      <c r="J25" s="8">
        <f>IFERROR(__xludf.DUMMYFUNCTION("""COMPUTED_VALUE"""),4.8)</f>
        <v>4.8</v>
      </c>
      <c r="K25" s="8">
        <f>IFERROR(__xludf.DUMMYFUNCTION("""COMPUTED_VALUE"""),5.0)</f>
        <v>5</v>
      </c>
      <c r="L25" s="8">
        <f>IFERROR(__xludf.DUMMYFUNCTION("""COMPUTED_VALUE"""),0.0)</f>
        <v>0</v>
      </c>
      <c r="M25" s="8"/>
      <c r="N25" s="20">
        <f>IFERROR(__xludf.DUMMYFUNCTION("""COMPUTED_VALUE"""),1.22)</f>
        <v>1.22</v>
      </c>
      <c r="O25" s="8">
        <f>IFERROR(__xludf.DUMMYFUNCTION("""COMPUTED_VALUE"""),2263293.0)</f>
        <v>2263293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>
        <f>IFERROR(__xludf.DUMMYFUNCTION("""COMPUTED_VALUE"""),25.0)</f>
        <v>25</v>
      </c>
      <c r="B26" s="9" t="str">
        <f>IFERROR(__xludf.DUMMYFUNCTION("""COMPUTED_VALUE"""),"PUENTES OSSA JUAN ESTEBAN")</f>
        <v>PUENTES OSSA JUAN ESTEBAN</v>
      </c>
      <c r="C26" s="10">
        <f>IFERROR(__xludf.DUMMYFUNCTION("""COMPUTED_VALUE"""),3.8)</f>
        <v>3.8</v>
      </c>
      <c r="D26" s="10"/>
      <c r="E26" s="10"/>
      <c r="F26" s="10"/>
      <c r="G26" s="17">
        <f>IFERROR(__xludf.DUMMYFUNCTION("""COMPUTED_VALUE"""),4.1)</f>
        <v>4.1</v>
      </c>
      <c r="H26" s="19"/>
      <c r="I26" s="8">
        <f>IFERROR(__xludf.DUMMYFUNCTION("""COMPUTED_VALUE"""),1.5)</f>
        <v>1.5</v>
      </c>
      <c r="J26" s="8">
        <f>IFERROR(__xludf.DUMMYFUNCTION("""COMPUTED_VALUE"""),3.5)</f>
        <v>3.5</v>
      </c>
      <c r="K26" s="8">
        <f>IFERROR(__xludf.DUMMYFUNCTION("""COMPUTED_VALUE"""),5.0)</f>
        <v>5</v>
      </c>
      <c r="L26" s="8">
        <f>IFERROR(__xludf.DUMMYFUNCTION("""COMPUTED_VALUE"""),4.3)</f>
        <v>4.3</v>
      </c>
      <c r="M26" s="8"/>
      <c r="N26" s="20">
        <f>IFERROR(__xludf.DUMMYFUNCTION("""COMPUTED_VALUE"""),0.98)</f>
        <v>0.98</v>
      </c>
      <c r="O26" s="8">
        <f>IFERROR(__xludf.DUMMYFUNCTION("""COMPUTED_VALUE"""),2263767.0)</f>
        <v>2263767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>
        <f>IFERROR(__xludf.DUMMYFUNCTION("""COMPUTED_VALUE"""),26.0)</f>
        <v>26</v>
      </c>
      <c r="B27" s="9" t="str">
        <f>IFERROR(__xludf.DUMMYFUNCTION("""COMPUTED_VALUE"""),"ROA RODRIGUEZ LUIS SANTIAGO")</f>
        <v>ROA RODRIGUEZ LUIS SANTIAGO</v>
      </c>
      <c r="C27" s="10">
        <f>IFERROR(__xludf.DUMMYFUNCTION("""COMPUTED_VALUE"""),0.0)</f>
        <v>0</v>
      </c>
      <c r="D27" s="10"/>
      <c r="E27" s="10"/>
      <c r="F27" s="10"/>
      <c r="G27" s="17">
        <f>IFERROR(__xludf.DUMMYFUNCTION("""COMPUTED_VALUE"""),2.0)</f>
        <v>2</v>
      </c>
      <c r="H27" s="19"/>
      <c r="I27" s="8">
        <f>IFERROR(__xludf.DUMMYFUNCTION("""COMPUTED_VALUE"""),0.0)</f>
        <v>0</v>
      </c>
      <c r="J27" s="8"/>
      <c r="K27" s="8">
        <f>IFERROR(__xludf.DUMMYFUNCTION("""COMPUTED_VALUE"""),0.0)</f>
        <v>0</v>
      </c>
      <c r="L27" s="8">
        <f>IFERROR(__xludf.DUMMYFUNCTION("""COMPUTED_VALUE"""),0.0)</f>
        <v>0</v>
      </c>
      <c r="M27" s="8"/>
      <c r="N27" s="20">
        <f>IFERROR(__xludf.DUMMYFUNCTION("""COMPUTED_VALUE"""),0.2)</f>
        <v>0.2</v>
      </c>
      <c r="O27" s="8">
        <f>IFERROR(__xludf.DUMMYFUNCTION("""COMPUTED_VALUE"""),2263814.0)</f>
        <v>2263814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>
        <f>IFERROR(__xludf.DUMMYFUNCTION("""COMPUTED_VALUE"""),27.0)</f>
        <v>27</v>
      </c>
      <c r="B28" s="9" t="str">
        <f>IFERROR(__xludf.DUMMYFUNCTION("""COMPUTED_VALUE"""),"URIBE LOPEZ LAURA MARIANA")</f>
        <v>URIBE LOPEZ LAURA MARIANA</v>
      </c>
      <c r="C28" s="10">
        <f>IFERROR(__xludf.DUMMYFUNCTION("""COMPUTED_VALUE"""),5.0)</f>
        <v>5</v>
      </c>
      <c r="D28" s="10"/>
      <c r="E28" s="10"/>
      <c r="F28" s="10"/>
      <c r="G28" s="17">
        <f>IFERROR(__xludf.DUMMYFUNCTION("""COMPUTED_VALUE"""),2.9)</f>
        <v>2.9</v>
      </c>
      <c r="H28" s="19"/>
      <c r="I28" s="8">
        <f>IFERROR(__xludf.DUMMYFUNCTION("""COMPUTED_VALUE"""),5.0)</f>
        <v>5</v>
      </c>
      <c r="J28" s="8">
        <f>IFERROR(__xludf.DUMMYFUNCTION("""COMPUTED_VALUE"""),4.4)</f>
        <v>4.4</v>
      </c>
      <c r="K28" s="8">
        <f>IFERROR(__xludf.DUMMYFUNCTION("""COMPUTED_VALUE"""),5.0)</f>
        <v>5</v>
      </c>
      <c r="L28" s="8">
        <f>IFERROR(__xludf.DUMMYFUNCTION("""COMPUTED_VALUE"""),5.0)</f>
        <v>5</v>
      </c>
      <c r="M28" s="8"/>
      <c r="N28" s="20">
        <f>IFERROR(__xludf.DUMMYFUNCTION("""COMPUTED_VALUE"""),1.04)</f>
        <v>1.04</v>
      </c>
      <c r="O28" s="8">
        <f>IFERROR(__xludf.DUMMYFUNCTION("""COMPUTED_VALUE"""),2263314.0)</f>
        <v>2263314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9">
        <f>IFERROR(__xludf.DUMMYFUNCTION("""COMPUTED_VALUE"""),28.0)</f>
        <v>28</v>
      </c>
      <c r="B29" s="9" t="str">
        <f>IFERROR(__xludf.DUMMYFUNCTION("""COMPUTED_VALUE"""),"UZCATEGUI GUILLEN ALEX MIGUEL")</f>
        <v>UZCATEGUI GUILLEN ALEX MIGUEL</v>
      </c>
      <c r="C29" s="21">
        <f>IFERROR(__xludf.DUMMYFUNCTION("""COMPUTED_VALUE"""),4.3)</f>
        <v>4.3</v>
      </c>
      <c r="D29" s="21"/>
      <c r="E29" s="21"/>
      <c r="F29" s="21"/>
      <c r="G29" s="17">
        <f>IFERROR(__xludf.DUMMYFUNCTION("""COMPUTED_VALUE"""),4.7)</f>
        <v>4.7</v>
      </c>
      <c r="H29" s="19"/>
      <c r="I29" s="8">
        <f>IFERROR(__xludf.DUMMYFUNCTION("""COMPUTED_VALUE"""),5.0)</f>
        <v>5</v>
      </c>
      <c r="J29" s="9">
        <f>IFERROR(__xludf.DUMMYFUNCTION("""COMPUTED_VALUE"""),3.8)</f>
        <v>3.8</v>
      </c>
      <c r="K29" s="9">
        <f>IFERROR(__xludf.DUMMYFUNCTION("""COMPUTED_VALUE"""),5.0)</f>
        <v>5</v>
      </c>
      <c r="L29" s="9">
        <f>IFERROR(__xludf.DUMMYFUNCTION("""COMPUTED_VALUE"""),3.1)</f>
        <v>3.1</v>
      </c>
      <c r="M29" s="9"/>
      <c r="N29" s="20">
        <f>IFERROR(__xludf.DUMMYFUNCTION("""COMPUTED_VALUE"""),1.115)</f>
        <v>1.115</v>
      </c>
      <c r="O29" s="9">
        <f>IFERROR(__xludf.DUMMYFUNCTION("""COMPUTED_VALUE"""),2263533.0)</f>
        <v>2263533</v>
      </c>
    </row>
    <row r="30">
      <c r="A30" s="9">
        <f>IFERROR(__xludf.DUMMYFUNCTION("""COMPUTED_VALUE"""),29.0)</f>
        <v>29</v>
      </c>
      <c r="B30" s="9" t="str">
        <f>IFERROR(__xludf.DUMMYFUNCTION("""COMPUTED_VALUE"""),"VILLALOBOS ESPAÑA JULIAN ANDRES")</f>
        <v>VILLALOBOS ESPAÑA JULIAN ANDRES</v>
      </c>
      <c r="C30" s="21">
        <f>IFERROR(__xludf.DUMMYFUNCTION("""COMPUTED_VALUE"""),4.9)</f>
        <v>4.9</v>
      </c>
      <c r="D30" s="21"/>
      <c r="E30" s="21"/>
      <c r="F30" s="21"/>
      <c r="G30" s="17">
        <f>IFERROR(__xludf.DUMMYFUNCTION("""COMPUTED_VALUE"""),4.4)</f>
        <v>4.4</v>
      </c>
      <c r="H30" s="19"/>
      <c r="I30" s="8">
        <f>IFERROR(__xludf.DUMMYFUNCTION("""COMPUTED_VALUE"""),5.0)</f>
        <v>5</v>
      </c>
      <c r="J30" s="9">
        <f>IFERROR(__xludf.DUMMYFUNCTION("""COMPUTED_VALUE"""),2.5)</f>
        <v>2.5</v>
      </c>
      <c r="K30" s="9">
        <f>IFERROR(__xludf.DUMMYFUNCTION("""COMPUTED_VALUE"""),5.0)</f>
        <v>5</v>
      </c>
      <c r="L30" s="9">
        <f>IFERROR(__xludf.DUMMYFUNCTION("""COMPUTED_VALUE"""),3.1)</f>
        <v>3.1</v>
      </c>
      <c r="M30" s="9"/>
      <c r="N30" s="20">
        <f>IFERROR(__xludf.DUMMYFUNCTION("""COMPUTED_VALUE"""),1.175)</f>
        <v>1.175</v>
      </c>
      <c r="O30" s="9">
        <f>IFERROR(__xludf.DUMMYFUNCTION("""COMPUTED_VALUE"""),2263480.0)</f>
        <v>2263480</v>
      </c>
    </row>
    <row r="31">
      <c r="I31" s="8"/>
    </row>
    <row r="32">
      <c r="I32" s="8"/>
    </row>
    <row r="33">
      <c r="I33" s="8"/>
    </row>
    <row r="34">
      <c r="I34" s="8"/>
    </row>
    <row r="35">
      <c r="I35" s="8"/>
    </row>
    <row r="36">
      <c r="I36" s="8"/>
    </row>
    <row r="37">
      <c r="I37" s="8"/>
    </row>
    <row r="38">
      <c r="I38" s="8"/>
    </row>
    <row r="39">
      <c r="I39" s="8"/>
    </row>
    <row r="40">
      <c r="I40" s="8"/>
    </row>
    <row r="41">
      <c r="I41" s="8"/>
    </row>
    <row r="42">
      <c r="I42" s="8"/>
    </row>
    <row r="43">
      <c r="I43" s="8"/>
    </row>
    <row r="44">
      <c r="I44" s="8"/>
    </row>
    <row r="45">
      <c r="I45" s="8"/>
    </row>
    <row r="46">
      <c r="I46" s="8"/>
    </row>
    <row r="47">
      <c r="I47" s="8"/>
    </row>
    <row r="48">
      <c r="I48" s="8"/>
    </row>
    <row r="49">
      <c r="I49" s="8"/>
    </row>
    <row r="50">
      <c r="I50" s="8"/>
    </row>
    <row r="51">
      <c r="I51" s="8"/>
    </row>
    <row r="52">
      <c r="I52" s="8"/>
    </row>
    <row r="53">
      <c r="I53" s="8"/>
    </row>
    <row r="54">
      <c r="I54" s="8"/>
    </row>
    <row r="55">
      <c r="I55" s="8"/>
    </row>
    <row r="56">
      <c r="I56" s="8"/>
    </row>
    <row r="57">
      <c r="I57" s="8"/>
    </row>
    <row r="58">
      <c r="I58" s="8"/>
    </row>
    <row r="59">
      <c r="I59" s="8"/>
    </row>
    <row r="60">
      <c r="I60" s="8"/>
    </row>
    <row r="61">
      <c r="I61" s="8"/>
    </row>
    <row r="62">
      <c r="I62" s="8"/>
    </row>
    <row r="63">
      <c r="I63" s="8"/>
    </row>
    <row r="64">
      <c r="I64" s="8"/>
    </row>
    <row r="65">
      <c r="I65" s="8"/>
    </row>
    <row r="66">
      <c r="I66" s="8"/>
    </row>
    <row r="67">
      <c r="I67" s="8"/>
    </row>
    <row r="68">
      <c r="I68" s="8"/>
    </row>
    <row r="69">
      <c r="I69" s="8"/>
    </row>
    <row r="70">
      <c r="I70" s="8"/>
    </row>
    <row r="71">
      <c r="I71" s="8"/>
    </row>
    <row r="72">
      <c r="I72" s="8"/>
    </row>
    <row r="73">
      <c r="I73" s="8"/>
    </row>
    <row r="74">
      <c r="I74" s="8"/>
    </row>
    <row r="75">
      <c r="I75" s="8"/>
    </row>
    <row r="76">
      <c r="I76" s="8"/>
    </row>
    <row r="77">
      <c r="I77" s="8"/>
    </row>
    <row r="78">
      <c r="I78" s="8"/>
    </row>
    <row r="79">
      <c r="I79" s="8"/>
    </row>
    <row r="80">
      <c r="I80" s="8"/>
    </row>
    <row r="81">
      <c r="I81" s="8"/>
    </row>
    <row r="82">
      <c r="I82" s="8"/>
    </row>
    <row r="83">
      <c r="I83" s="8"/>
    </row>
    <row r="84">
      <c r="I84" s="8"/>
    </row>
    <row r="85">
      <c r="I85" s="8"/>
    </row>
    <row r="86">
      <c r="I86" s="8"/>
    </row>
    <row r="87">
      <c r="I87" s="8"/>
    </row>
    <row r="88">
      <c r="I88" s="8"/>
    </row>
    <row r="89">
      <c r="I89" s="8"/>
    </row>
    <row r="90">
      <c r="I90" s="8"/>
    </row>
    <row r="91">
      <c r="I91" s="8"/>
    </row>
    <row r="92">
      <c r="I92" s="8"/>
    </row>
    <row r="93">
      <c r="I93" s="8"/>
    </row>
    <row r="94">
      <c r="I94" s="8"/>
    </row>
    <row r="95">
      <c r="I95" s="8"/>
    </row>
    <row r="96">
      <c r="I96" s="8"/>
    </row>
    <row r="97">
      <c r="I97" s="8"/>
    </row>
    <row r="98">
      <c r="I98" s="8"/>
    </row>
    <row r="99">
      <c r="I99" s="8"/>
    </row>
    <row r="100">
      <c r="I100" s="8"/>
    </row>
    <row r="101">
      <c r="I101" s="8"/>
    </row>
    <row r="102">
      <c r="I102" s="8"/>
    </row>
    <row r="103">
      <c r="I103" s="8"/>
    </row>
    <row r="104">
      <c r="I104" s="8"/>
    </row>
    <row r="105">
      <c r="I105" s="8"/>
    </row>
    <row r="106">
      <c r="I106" s="8"/>
    </row>
    <row r="107">
      <c r="I107" s="8"/>
    </row>
    <row r="108">
      <c r="I108" s="8"/>
    </row>
    <row r="109">
      <c r="I109" s="8"/>
    </row>
    <row r="110">
      <c r="I110" s="8"/>
    </row>
    <row r="111">
      <c r="I111" s="8"/>
    </row>
    <row r="112">
      <c r="I112" s="8"/>
    </row>
    <row r="113">
      <c r="I113" s="8"/>
    </row>
    <row r="114">
      <c r="I114" s="8"/>
    </row>
    <row r="115">
      <c r="I115" s="8"/>
    </row>
    <row r="116">
      <c r="I116" s="8"/>
    </row>
    <row r="117">
      <c r="I117" s="8"/>
    </row>
    <row r="118">
      <c r="I118" s="8"/>
    </row>
    <row r="119">
      <c r="I119" s="8"/>
    </row>
    <row r="120">
      <c r="I120" s="8"/>
    </row>
    <row r="121">
      <c r="I121" s="8"/>
    </row>
    <row r="122">
      <c r="I122" s="8"/>
    </row>
    <row r="123">
      <c r="I123" s="8"/>
    </row>
    <row r="124">
      <c r="I124" s="8"/>
    </row>
    <row r="125">
      <c r="I125" s="8"/>
    </row>
    <row r="126">
      <c r="I126" s="8"/>
    </row>
    <row r="127">
      <c r="I127" s="8"/>
    </row>
    <row r="128">
      <c r="I128" s="8"/>
    </row>
    <row r="129">
      <c r="I129" s="8"/>
    </row>
    <row r="130">
      <c r="I130" s="8"/>
    </row>
    <row r="131">
      <c r="I131" s="8"/>
    </row>
    <row r="132">
      <c r="I132" s="8"/>
    </row>
    <row r="133">
      <c r="I133" s="8"/>
    </row>
    <row r="134">
      <c r="I134" s="8"/>
    </row>
    <row r="135">
      <c r="I135" s="8"/>
    </row>
    <row r="136">
      <c r="I136" s="8"/>
    </row>
    <row r="137">
      <c r="I137" s="8"/>
    </row>
    <row r="138">
      <c r="I138" s="8"/>
    </row>
    <row r="139">
      <c r="I139" s="8"/>
    </row>
    <row r="140">
      <c r="I140" s="8"/>
    </row>
    <row r="141">
      <c r="I141" s="8"/>
    </row>
    <row r="142">
      <c r="I142" s="8"/>
    </row>
    <row r="143">
      <c r="I143" s="8"/>
    </row>
    <row r="144">
      <c r="I144" s="8"/>
    </row>
    <row r="145">
      <c r="I145" s="8"/>
    </row>
    <row r="146">
      <c r="I146" s="8"/>
    </row>
    <row r="147">
      <c r="I147" s="8"/>
    </row>
    <row r="148">
      <c r="I148" s="8"/>
    </row>
    <row r="149">
      <c r="I149" s="8"/>
    </row>
    <row r="150">
      <c r="I150" s="8"/>
    </row>
    <row r="151">
      <c r="I151" s="8"/>
    </row>
    <row r="152">
      <c r="I152" s="8"/>
    </row>
    <row r="153">
      <c r="I153" s="8"/>
    </row>
    <row r="154">
      <c r="I154" s="8"/>
    </row>
    <row r="155">
      <c r="I155" s="8"/>
    </row>
    <row r="156">
      <c r="I156" s="8"/>
    </row>
    <row r="157">
      <c r="I157" s="8"/>
    </row>
    <row r="158">
      <c r="I158" s="8"/>
    </row>
    <row r="159">
      <c r="I159" s="8"/>
    </row>
    <row r="160">
      <c r="I160" s="8"/>
    </row>
    <row r="161">
      <c r="I161" s="8"/>
    </row>
    <row r="162">
      <c r="I162" s="8"/>
    </row>
    <row r="163">
      <c r="I163" s="8"/>
    </row>
    <row r="164">
      <c r="I164" s="8"/>
    </row>
    <row r="165">
      <c r="I165" s="8"/>
    </row>
    <row r="166">
      <c r="I166" s="8"/>
    </row>
    <row r="167">
      <c r="I167" s="8"/>
    </row>
    <row r="168">
      <c r="I168" s="8"/>
    </row>
    <row r="169">
      <c r="I169" s="8"/>
    </row>
    <row r="170">
      <c r="I170" s="8"/>
    </row>
    <row r="171">
      <c r="I171" s="8"/>
    </row>
    <row r="172">
      <c r="I172" s="8"/>
    </row>
    <row r="173">
      <c r="I173" s="8"/>
    </row>
    <row r="174">
      <c r="I174" s="8"/>
    </row>
    <row r="175">
      <c r="I175" s="8"/>
    </row>
    <row r="176">
      <c r="I176" s="8"/>
    </row>
    <row r="177">
      <c r="I177" s="8"/>
    </row>
    <row r="178">
      <c r="I178" s="8"/>
    </row>
    <row r="179">
      <c r="I179" s="8"/>
    </row>
    <row r="180">
      <c r="I180" s="8"/>
    </row>
    <row r="181">
      <c r="I181" s="8"/>
    </row>
    <row r="182">
      <c r="I182" s="8"/>
    </row>
    <row r="183">
      <c r="I183" s="8"/>
    </row>
    <row r="184">
      <c r="I184" s="8"/>
    </row>
    <row r="185">
      <c r="I185" s="8"/>
    </row>
    <row r="186">
      <c r="I186" s="8"/>
    </row>
    <row r="187">
      <c r="I187" s="8"/>
    </row>
    <row r="188">
      <c r="I188" s="8"/>
    </row>
    <row r="189">
      <c r="I189" s="8"/>
    </row>
    <row r="190">
      <c r="I190" s="8"/>
    </row>
    <row r="191">
      <c r="I191" s="8"/>
    </row>
    <row r="192">
      <c r="I192" s="8"/>
    </row>
    <row r="193">
      <c r="I193" s="8"/>
    </row>
    <row r="194">
      <c r="I194" s="8"/>
    </row>
    <row r="195">
      <c r="I195" s="8"/>
    </row>
    <row r="196">
      <c r="I196" s="8"/>
    </row>
    <row r="197">
      <c r="I197" s="8"/>
    </row>
    <row r="198">
      <c r="I198" s="8"/>
    </row>
    <row r="199">
      <c r="I199" s="8"/>
    </row>
    <row r="200">
      <c r="I200" s="8"/>
    </row>
    <row r="201">
      <c r="I201" s="8"/>
    </row>
    <row r="202">
      <c r="I202" s="8"/>
    </row>
    <row r="203">
      <c r="I203" s="8"/>
    </row>
    <row r="204">
      <c r="I204" s="8"/>
    </row>
    <row r="205">
      <c r="I205" s="8"/>
    </row>
    <row r="206">
      <c r="I206" s="8"/>
    </row>
    <row r="207">
      <c r="I207" s="8"/>
    </row>
    <row r="208">
      <c r="I208" s="8"/>
    </row>
    <row r="209">
      <c r="I209" s="8"/>
    </row>
    <row r="210">
      <c r="I210" s="8"/>
    </row>
    <row r="211">
      <c r="I211" s="8"/>
    </row>
    <row r="212">
      <c r="I212" s="8"/>
    </row>
    <row r="213">
      <c r="I213" s="8"/>
    </row>
    <row r="214">
      <c r="I214" s="8"/>
    </row>
    <row r="215">
      <c r="I215" s="8"/>
    </row>
    <row r="216">
      <c r="I216" s="8"/>
    </row>
    <row r="217">
      <c r="I217" s="8"/>
    </row>
    <row r="218">
      <c r="I218" s="8"/>
    </row>
    <row r="219">
      <c r="I219" s="8"/>
    </row>
    <row r="220">
      <c r="I220" s="8"/>
    </row>
    <row r="221">
      <c r="I221" s="8"/>
    </row>
    <row r="222">
      <c r="I222" s="8"/>
    </row>
    <row r="223">
      <c r="I223" s="8"/>
    </row>
    <row r="224">
      <c r="I224" s="8"/>
    </row>
    <row r="225">
      <c r="I225" s="8"/>
    </row>
    <row r="226">
      <c r="I226" s="8"/>
    </row>
    <row r="227">
      <c r="I227" s="8"/>
    </row>
    <row r="228">
      <c r="I228" s="8"/>
    </row>
    <row r="229">
      <c r="I229" s="8"/>
    </row>
    <row r="230">
      <c r="I230" s="8"/>
    </row>
    <row r="231">
      <c r="I231" s="8"/>
    </row>
    <row r="232">
      <c r="I232" s="8"/>
    </row>
    <row r="233">
      <c r="I233" s="8"/>
    </row>
    <row r="234">
      <c r="I234" s="8"/>
    </row>
    <row r="235">
      <c r="I235" s="8"/>
    </row>
    <row r="236">
      <c r="I236" s="8"/>
    </row>
    <row r="237">
      <c r="I237" s="8"/>
    </row>
    <row r="238">
      <c r="I238" s="8"/>
    </row>
    <row r="239">
      <c r="I239" s="8"/>
    </row>
    <row r="240">
      <c r="I240" s="8"/>
    </row>
    <row r="241">
      <c r="I241" s="8"/>
    </row>
    <row r="242">
      <c r="I242" s="8"/>
    </row>
    <row r="243">
      <c r="I243" s="8"/>
    </row>
    <row r="244">
      <c r="I244" s="8"/>
    </row>
    <row r="245">
      <c r="I245" s="8"/>
    </row>
    <row r="246">
      <c r="I246" s="8"/>
    </row>
    <row r="247">
      <c r="I247" s="8"/>
    </row>
    <row r="248">
      <c r="I248" s="8"/>
    </row>
    <row r="249">
      <c r="I249" s="8"/>
    </row>
    <row r="250">
      <c r="I250" s="8"/>
    </row>
    <row r="251">
      <c r="I251" s="8"/>
    </row>
    <row r="252">
      <c r="I252" s="8"/>
    </row>
    <row r="253">
      <c r="I253" s="8"/>
    </row>
    <row r="254">
      <c r="I254" s="8"/>
    </row>
    <row r="255">
      <c r="I255" s="8"/>
    </row>
    <row r="256">
      <c r="I256" s="8"/>
    </row>
    <row r="257">
      <c r="I257" s="8"/>
    </row>
    <row r="258">
      <c r="I258" s="8"/>
    </row>
    <row r="259">
      <c r="I259" s="8"/>
    </row>
    <row r="260">
      <c r="I260" s="8"/>
    </row>
    <row r="261">
      <c r="I261" s="8"/>
    </row>
    <row r="262">
      <c r="I262" s="8"/>
    </row>
    <row r="263">
      <c r="I263" s="8"/>
    </row>
    <row r="264">
      <c r="I264" s="8"/>
    </row>
    <row r="265">
      <c r="I265" s="8"/>
    </row>
    <row r="266">
      <c r="I266" s="8"/>
    </row>
    <row r="267">
      <c r="I267" s="8"/>
    </row>
    <row r="268">
      <c r="I268" s="8"/>
    </row>
    <row r="269">
      <c r="I269" s="8"/>
    </row>
    <row r="270">
      <c r="I270" s="8"/>
    </row>
    <row r="271">
      <c r="I271" s="8"/>
    </row>
    <row r="272">
      <c r="I272" s="8"/>
    </row>
    <row r="273">
      <c r="I273" s="8"/>
    </row>
    <row r="274">
      <c r="I274" s="8"/>
    </row>
    <row r="275">
      <c r="I275" s="8"/>
    </row>
    <row r="276">
      <c r="I276" s="8"/>
    </row>
    <row r="277">
      <c r="I277" s="8"/>
    </row>
    <row r="278">
      <c r="I278" s="8"/>
    </row>
    <row r="279">
      <c r="I279" s="8"/>
    </row>
    <row r="280">
      <c r="I280" s="8"/>
    </row>
    <row r="281">
      <c r="I281" s="8"/>
    </row>
    <row r="282">
      <c r="I282" s="8"/>
    </row>
    <row r="283">
      <c r="I283" s="8"/>
    </row>
    <row r="284">
      <c r="I284" s="8"/>
    </row>
    <row r="285">
      <c r="I285" s="8"/>
    </row>
    <row r="286">
      <c r="I286" s="8"/>
    </row>
    <row r="287">
      <c r="I287" s="8"/>
    </row>
    <row r="288">
      <c r="I288" s="8"/>
    </row>
    <row r="289">
      <c r="I289" s="8"/>
    </row>
    <row r="290">
      <c r="I290" s="8"/>
    </row>
    <row r="291">
      <c r="I291" s="8"/>
    </row>
    <row r="292">
      <c r="I292" s="8"/>
    </row>
    <row r="293">
      <c r="I293" s="8"/>
    </row>
    <row r="294">
      <c r="I294" s="8"/>
    </row>
    <row r="295">
      <c r="I295" s="8"/>
    </row>
    <row r="296">
      <c r="I296" s="8"/>
    </row>
    <row r="297">
      <c r="I297" s="8"/>
    </row>
    <row r="298">
      <c r="I298" s="8"/>
    </row>
    <row r="299">
      <c r="I299" s="8"/>
    </row>
    <row r="300">
      <c r="I300" s="8"/>
    </row>
    <row r="301">
      <c r="I301" s="8"/>
    </row>
    <row r="302">
      <c r="I302" s="8"/>
    </row>
    <row r="303">
      <c r="I303" s="8"/>
    </row>
    <row r="304">
      <c r="I304" s="8"/>
    </row>
    <row r="305">
      <c r="I305" s="8"/>
    </row>
    <row r="306">
      <c r="I306" s="8"/>
    </row>
    <row r="307">
      <c r="I307" s="8"/>
    </row>
    <row r="308">
      <c r="I308" s="8"/>
    </row>
    <row r="309">
      <c r="I309" s="8"/>
    </row>
    <row r="310">
      <c r="I310" s="8"/>
    </row>
    <row r="311">
      <c r="I311" s="8"/>
    </row>
    <row r="312">
      <c r="I312" s="8"/>
    </row>
    <row r="313">
      <c r="I313" s="8"/>
    </row>
    <row r="314">
      <c r="I314" s="8"/>
    </row>
    <row r="315">
      <c r="I315" s="8"/>
    </row>
    <row r="316">
      <c r="I316" s="8"/>
    </row>
    <row r="317">
      <c r="I317" s="8"/>
    </row>
    <row r="318">
      <c r="I318" s="8"/>
    </row>
    <row r="319">
      <c r="I319" s="8"/>
    </row>
    <row r="320">
      <c r="I320" s="8"/>
    </row>
    <row r="321">
      <c r="I321" s="8"/>
    </row>
    <row r="322">
      <c r="I322" s="8"/>
    </row>
    <row r="323">
      <c r="I323" s="8"/>
    </row>
    <row r="324">
      <c r="I324" s="8"/>
    </row>
    <row r="325">
      <c r="I325" s="8"/>
    </row>
    <row r="326">
      <c r="I326" s="8"/>
    </row>
    <row r="327">
      <c r="I327" s="8"/>
    </row>
    <row r="328">
      <c r="I328" s="8"/>
    </row>
    <row r="329">
      <c r="I329" s="8"/>
    </row>
    <row r="330">
      <c r="I330" s="8"/>
    </row>
    <row r="331">
      <c r="I331" s="8"/>
    </row>
    <row r="332">
      <c r="I332" s="8"/>
    </row>
    <row r="333">
      <c r="I333" s="8"/>
    </row>
    <row r="334">
      <c r="I334" s="8"/>
    </row>
    <row r="335">
      <c r="I335" s="8"/>
    </row>
    <row r="336">
      <c r="I336" s="8"/>
    </row>
    <row r="337">
      <c r="I337" s="8"/>
    </row>
    <row r="338">
      <c r="I338" s="8"/>
    </row>
    <row r="339">
      <c r="I339" s="8"/>
    </row>
    <row r="340">
      <c r="I340" s="8"/>
    </row>
    <row r="341">
      <c r="I341" s="8"/>
    </row>
    <row r="342">
      <c r="I342" s="8"/>
    </row>
    <row r="343">
      <c r="I343" s="8"/>
    </row>
    <row r="344">
      <c r="I344" s="8"/>
    </row>
    <row r="345">
      <c r="I345" s="8"/>
    </row>
    <row r="346">
      <c r="I346" s="8"/>
    </row>
    <row r="347">
      <c r="I347" s="8"/>
    </row>
    <row r="348">
      <c r="I348" s="8"/>
    </row>
    <row r="349">
      <c r="I349" s="8"/>
    </row>
    <row r="350">
      <c r="I350" s="8"/>
    </row>
    <row r="351">
      <c r="I351" s="8"/>
    </row>
    <row r="352">
      <c r="I352" s="8"/>
    </row>
    <row r="353">
      <c r="I353" s="8"/>
    </row>
    <row r="354">
      <c r="I354" s="8"/>
    </row>
    <row r="355">
      <c r="I355" s="8"/>
    </row>
    <row r="356">
      <c r="I356" s="8"/>
    </row>
    <row r="357">
      <c r="I357" s="8"/>
    </row>
    <row r="358">
      <c r="I358" s="8"/>
    </row>
    <row r="359">
      <c r="I359" s="8"/>
    </row>
    <row r="360">
      <c r="I360" s="8"/>
    </row>
    <row r="361">
      <c r="I361" s="8"/>
    </row>
    <row r="362">
      <c r="I362" s="8"/>
    </row>
    <row r="363">
      <c r="I363" s="8"/>
    </row>
    <row r="364">
      <c r="I364" s="8"/>
    </row>
    <row r="365">
      <c r="I365" s="8"/>
    </row>
    <row r="366">
      <c r="I366" s="8"/>
    </row>
    <row r="367">
      <c r="I367" s="8"/>
    </row>
    <row r="368">
      <c r="I368" s="8"/>
    </row>
    <row r="369">
      <c r="I369" s="8"/>
    </row>
    <row r="370">
      <c r="I370" s="8"/>
    </row>
    <row r="371">
      <c r="I371" s="8"/>
    </row>
    <row r="372">
      <c r="I372" s="8"/>
    </row>
    <row r="373">
      <c r="I373" s="8"/>
    </row>
    <row r="374">
      <c r="I374" s="8"/>
    </row>
    <row r="375">
      <c r="I375" s="8"/>
    </row>
    <row r="376">
      <c r="I376" s="8"/>
    </row>
    <row r="377">
      <c r="I377" s="8"/>
    </row>
    <row r="378">
      <c r="I378" s="8"/>
    </row>
    <row r="379">
      <c r="I379" s="8"/>
    </row>
    <row r="380">
      <c r="I380" s="8"/>
    </row>
    <row r="381">
      <c r="I381" s="8"/>
    </row>
    <row r="382">
      <c r="I382" s="8"/>
    </row>
    <row r="383">
      <c r="I383" s="8"/>
    </row>
    <row r="384">
      <c r="I384" s="8"/>
    </row>
    <row r="385">
      <c r="I385" s="8"/>
    </row>
    <row r="386">
      <c r="I386" s="8"/>
    </row>
    <row r="387">
      <c r="I387" s="8"/>
    </row>
    <row r="388">
      <c r="I388" s="8"/>
    </row>
    <row r="389">
      <c r="I389" s="8"/>
    </row>
    <row r="390">
      <c r="I390" s="8"/>
    </row>
    <row r="391">
      <c r="I391" s="8"/>
    </row>
    <row r="392">
      <c r="I392" s="8"/>
    </row>
    <row r="393">
      <c r="I393" s="8"/>
    </row>
    <row r="394">
      <c r="I394" s="8"/>
    </row>
    <row r="395">
      <c r="I395" s="8"/>
    </row>
    <row r="396">
      <c r="I396" s="8"/>
    </row>
    <row r="397">
      <c r="I397" s="8"/>
    </row>
    <row r="398">
      <c r="I398" s="8"/>
    </row>
    <row r="399">
      <c r="I399" s="8"/>
    </row>
    <row r="400">
      <c r="I400" s="8"/>
    </row>
    <row r="401">
      <c r="I401" s="8"/>
    </row>
    <row r="402">
      <c r="I402" s="8"/>
    </row>
    <row r="403">
      <c r="I403" s="8"/>
    </row>
    <row r="404">
      <c r="I404" s="8"/>
    </row>
    <row r="405">
      <c r="I405" s="8"/>
    </row>
    <row r="406">
      <c r="I406" s="8"/>
    </row>
    <row r="407">
      <c r="I407" s="8"/>
    </row>
    <row r="408">
      <c r="I408" s="8"/>
    </row>
    <row r="409">
      <c r="I409" s="8"/>
    </row>
    <row r="410">
      <c r="I410" s="8"/>
    </row>
    <row r="411">
      <c r="I411" s="8"/>
    </row>
    <row r="412">
      <c r="I412" s="8"/>
    </row>
    <row r="413">
      <c r="I413" s="8"/>
    </row>
    <row r="414">
      <c r="I414" s="8"/>
    </row>
    <row r="415">
      <c r="I415" s="8"/>
    </row>
    <row r="416">
      <c r="I416" s="8"/>
    </row>
    <row r="417">
      <c r="I417" s="8"/>
    </row>
    <row r="418">
      <c r="I418" s="8"/>
    </row>
    <row r="419">
      <c r="I419" s="8"/>
    </row>
    <row r="420">
      <c r="I420" s="8"/>
    </row>
    <row r="421">
      <c r="I421" s="8"/>
    </row>
    <row r="422">
      <c r="I422" s="8"/>
    </row>
    <row r="423">
      <c r="I423" s="8"/>
    </row>
    <row r="424">
      <c r="I424" s="8"/>
    </row>
    <row r="425">
      <c r="I425" s="8"/>
    </row>
    <row r="426">
      <c r="I426" s="8"/>
    </row>
    <row r="427">
      <c r="I427" s="8"/>
    </row>
    <row r="428">
      <c r="I428" s="8"/>
    </row>
    <row r="429">
      <c r="I429" s="8"/>
    </row>
    <row r="430">
      <c r="I430" s="8"/>
    </row>
    <row r="431">
      <c r="I431" s="8"/>
    </row>
    <row r="432">
      <c r="I432" s="8"/>
    </row>
    <row r="433">
      <c r="I433" s="8"/>
    </row>
    <row r="434">
      <c r="I434" s="8"/>
    </row>
    <row r="435">
      <c r="I435" s="8"/>
    </row>
    <row r="436">
      <c r="I436" s="8"/>
    </row>
    <row r="437">
      <c r="I437" s="8"/>
    </row>
    <row r="438">
      <c r="I438" s="8"/>
    </row>
    <row r="439">
      <c r="I439" s="8"/>
    </row>
    <row r="440">
      <c r="I440" s="8"/>
    </row>
    <row r="441">
      <c r="I441" s="8"/>
    </row>
    <row r="442">
      <c r="I442" s="8"/>
    </row>
    <row r="443">
      <c r="I443" s="8"/>
    </row>
    <row r="444">
      <c r="I444" s="8"/>
    </row>
    <row r="445">
      <c r="I445" s="8"/>
    </row>
    <row r="446">
      <c r="I446" s="8"/>
    </row>
    <row r="447">
      <c r="I447" s="8"/>
    </row>
    <row r="448">
      <c r="I448" s="8"/>
    </row>
    <row r="449">
      <c r="I449" s="8"/>
    </row>
    <row r="450">
      <c r="I450" s="8"/>
    </row>
    <row r="451">
      <c r="I451" s="8"/>
    </row>
    <row r="452">
      <c r="I452" s="8"/>
    </row>
    <row r="453">
      <c r="I453" s="8"/>
    </row>
    <row r="454">
      <c r="I454" s="8"/>
    </row>
    <row r="455">
      <c r="I455" s="8"/>
    </row>
    <row r="456">
      <c r="I456" s="8"/>
    </row>
    <row r="457">
      <c r="I457" s="8"/>
    </row>
    <row r="458">
      <c r="I458" s="8"/>
    </row>
    <row r="459">
      <c r="I459" s="8"/>
    </row>
    <row r="460">
      <c r="I460" s="8"/>
    </row>
    <row r="461">
      <c r="I461" s="8"/>
    </row>
    <row r="462">
      <c r="I462" s="8"/>
    </row>
    <row r="463">
      <c r="I463" s="8"/>
    </row>
    <row r="464">
      <c r="I464" s="8"/>
    </row>
    <row r="465">
      <c r="I465" s="8"/>
    </row>
    <row r="466">
      <c r="I466" s="8"/>
    </row>
    <row r="467">
      <c r="I467" s="8"/>
    </row>
    <row r="468">
      <c r="I468" s="8"/>
    </row>
    <row r="469">
      <c r="I469" s="8"/>
    </row>
    <row r="470">
      <c r="I470" s="8"/>
    </row>
    <row r="471">
      <c r="I471" s="8"/>
    </row>
    <row r="472">
      <c r="I472" s="8"/>
    </row>
    <row r="473">
      <c r="I473" s="8"/>
    </row>
    <row r="474">
      <c r="I474" s="8"/>
    </row>
    <row r="475">
      <c r="I475" s="8"/>
    </row>
    <row r="476">
      <c r="I476" s="8"/>
    </row>
    <row r="477">
      <c r="I477" s="8"/>
    </row>
    <row r="478">
      <c r="I478" s="8"/>
    </row>
    <row r="479">
      <c r="I479" s="8"/>
    </row>
    <row r="480">
      <c r="I480" s="8"/>
    </row>
    <row r="481">
      <c r="I481" s="8"/>
    </row>
    <row r="482">
      <c r="I482" s="8"/>
    </row>
    <row r="483">
      <c r="I483" s="8"/>
    </row>
    <row r="484">
      <c r="I484" s="8"/>
    </row>
    <row r="485">
      <c r="I485" s="8"/>
    </row>
    <row r="486">
      <c r="I486" s="8"/>
    </row>
    <row r="487">
      <c r="I487" s="8"/>
    </row>
    <row r="488">
      <c r="I488" s="8"/>
    </row>
    <row r="489">
      <c r="I489" s="8"/>
    </row>
    <row r="490">
      <c r="I490" s="8"/>
    </row>
    <row r="491">
      <c r="I491" s="8"/>
    </row>
    <row r="492">
      <c r="I492" s="8"/>
    </row>
    <row r="493">
      <c r="I493" s="8"/>
    </row>
    <row r="494">
      <c r="I494" s="8"/>
    </row>
    <row r="495">
      <c r="I495" s="8"/>
    </row>
    <row r="496">
      <c r="I496" s="8"/>
    </row>
    <row r="497">
      <c r="I497" s="8"/>
    </row>
    <row r="498">
      <c r="I498" s="8"/>
    </row>
    <row r="499">
      <c r="I499" s="8"/>
    </row>
    <row r="500">
      <c r="I500" s="8"/>
    </row>
    <row r="501">
      <c r="I501" s="8"/>
    </row>
    <row r="502">
      <c r="I502" s="8"/>
    </row>
    <row r="503">
      <c r="I503" s="8"/>
    </row>
    <row r="504">
      <c r="I504" s="8"/>
    </row>
    <row r="505">
      <c r="I505" s="8"/>
    </row>
    <row r="506">
      <c r="I506" s="8"/>
    </row>
    <row r="507">
      <c r="I507" s="8"/>
    </row>
    <row r="508">
      <c r="I508" s="8"/>
    </row>
    <row r="509">
      <c r="I509" s="8"/>
    </row>
    <row r="510">
      <c r="I510" s="8"/>
    </row>
    <row r="511">
      <c r="I511" s="8"/>
    </row>
    <row r="512">
      <c r="I512" s="8"/>
    </row>
    <row r="513">
      <c r="I513" s="8"/>
    </row>
    <row r="514">
      <c r="I514" s="8"/>
    </row>
    <row r="515">
      <c r="I515" s="8"/>
    </row>
    <row r="516">
      <c r="I516" s="8"/>
    </row>
    <row r="517">
      <c r="I517" s="8"/>
    </row>
    <row r="518">
      <c r="I518" s="8"/>
    </row>
    <row r="519">
      <c r="I519" s="8"/>
    </row>
    <row r="520">
      <c r="I520" s="8"/>
    </row>
    <row r="521">
      <c r="I521" s="8"/>
    </row>
    <row r="522">
      <c r="I522" s="8"/>
    </row>
    <row r="523">
      <c r="I523" s="8"/>
    </row>
    <row r="524">
      <c r="I524" s="8"/>
    </row>
    <row r="525">
      <c r="I525" s="8"/>
    </row>
    <row r="526">
      <c r="I526" s="8"/>
    </row>
    <row r="527">
      <c r="I527" s="8"/>
    </row>
    <row r="528">
      <c r="I528" s="8"/>
    </row>
    <row r="529">
      <c r="I529" s="8"/>
    </row>
    <row r="530">
      <c r="I530" s="8"/>
    </row>
    <row r="531">
      <c r="I531" s="8"/>
    </row>
    <row r="532">
      <c r="I532" s="8"/>
    </row>
    <row r="533">
      <c r="I533" s="8"/>
    </row>
    <row r="534">
      <c r="I534" s="8"/>
    </row>
    <row r="535">
      <c r="I535" s="8"/>
    </row>
    <row r="536">
      <c r="I536" s="8"/>
    </row>
    <row r="537">
      <c r="I537" s="8"/>
    </row>
    <row r="538">
      <c r="I538" s="8"/>
    </row>
    <row r="539">
      <c r="I539" s="8"/>
    </row>
    <row r="540">
      <c r="I540" s="8"/>
    </row>
    <row r="541">
      <c r="I541" s="8"/>
    </row>
    <row r="542">
      <c r="I542" s="8"/>
    </row>
    <row r="543">
      <c r="I543" s="8"/>
    </row>
    <row r="544">
      <c r="I544" s="8"/>
    </row>
    <row r="545">
      <c r="I545" s="8"/>
    </row>
    <row r="546">
      <c r="I546" s="8"/>
    </row>
    <row r="547">
      <c r="I547" s="8"/>
    </row>
    <row r="548">
      <c r="I548" s="8"/>
    </row>
    <row r="549">
      <c r="I549" s="8"/>
    </row>
    <row r="550">
      <c r="I550" s="8"/>
    </row>
    <row r="551">
      <c r="I551" s="8"/>
    </row>
    <row r="552">
      <c r="I552" s="8"/>
    </row>
    <row r="553">
      <c r="I553" s="8"/>
    </row>
    <row r="554">
      <c r="I554" s="8"/>
    </row>
    <row r="555">
      <c r="I555" s="8"/>
    </row>
    <row r="556">
      <c r="I556" s="8"/>
    </row>
    <row r="557">
      <c r="I557" s="8"/>
    </row>
    <row r="558">
      <c r="I558" s="8"/>
    </row>
    <row r="559">
      <c r="I559" s="8"/>
    </row>
    <row r="560">
      <c r="I560" s="8"/>
    </row>
    <row r="561">
      <c r="I561" s="8"/>
    </row>
    <row r="562">
      <c r="I562" s="8"/>
    </row>
    <row r="563">
      <c r="I563" s="8"/>
    </row>
    <row r="564">
      <c r="I564" s="8"/>
    </row>
    <row r="565">
      <c r="I565" s="8"/>
    </row>
    <row r="566">
      <c r="I566" s="8"/>
    </row>
    <row r="567">
      <c r="I567" s="8"/>
    </row>
    <row r="568">
      <c r="I568" s="8"/>
    </row>
    <row r="569">
      <c r="I569" s="8"/>
    </row>
    <row r="570">
      <c r="I570" s="8"/>
    </row>
    <row r="571">
      <c r="I571" s="8"/>
    </row>
    <row r="572">
      <c r="I572" s="8"/>
    </row>
    <row r="573">
      <c r="I573" s="8"/>
    </row>
    <row r="574">
      <c r="I574" s="8"/>
    </row>
    <row r="575">
      <c r="I575" s="8"/>
    </row>
    <row r="576">
      <c r="I576" s="8"/>
    </row>
    <row r="577">
      <c r="I577" s="8"/>
    </row>
    <row r="578">
      <c r="I578" s="8"/>
    </row>
    <row r="579">
      <c r="I579" s="8"/>
    </row>
    <row r="580">
      <c r="I580" s="8"/>
    </row>
    <row r="581">
      <c r="I581" s="8"/>
    </row>
    <row r="582">
      <c r="I582" s="8"/>
    </row>
    <row r="583">
      <c r="I583" s="8"/>
    </row>
    <row r="584">
      <c r="I584" s="8"/>
    </row>
    <row r="585">
      <c r="I585" s="8"/>
    </row>
    <row r="586">
      <c r="I586" s="8"/>
    </row>
    <row r="587">
      <c r="I587" s="8"/>
    </row>
    <row r="588">
      <c r="I588" s="8"/>
    </row>
    <row r="589">
      <c r="I589" s="8"/>
    </row>
    <row r="590">
      <c r="I590" s="8"/>
    </row>
    <row r="591">
      <c r="I591" s="8"/>
    </row>
    <row r="592">
      <c r="I592" s="8"/>
    </row>
    <row r="593">
      <c r="I593" s="8"/>
    </row>
    <row r="594">
      <c r="I594" s="8"/>
    </row>
    <row r="595">
      <c r="I595" s="8"/>
    </row>
    <row r="596">
      <c r="I596" s="8"/>
    </row>
    <row r="597">
      <c r="I597" s="8"/>
    </row>
    <row r="598">
      <c r="I598" s="8"/>
    </row>
    <row r="599">
      <c r="I599" s="8"/>
    </row>
    <row r="600">
      <c r="I600" s="8"/>
    </row>
    <row r="601">
      <c r="I601" s="8"/>
    </row>
    <row r="602">
      <c r="I602" s="8"/>
    </row>
    <row r="603">
      <c r="I603" s="8"/>
    </row>
    <row r="604">
      <c r="I604" s="8"/>
    </row>
    <row r="605">
      <c r="I605" s="8"/>
    </row>
    <row r="606">
      <c r="I606" s="8"/>
    </row>
    <row r="607">
      <c r="I607" s="8"/>
    </row>
    <row r="608">
      <c r="I608" s="8"/>
    </row>
    <row r="609">
      <c r="I609" s="8"/>
    </row>
    <row r="610">
      <c r="I610" s="8"/>
    </row>
    <row r="611">
      <c r="I611" s="8"/>
    </row>
    <row r="612">
      <c r="I612" s="8"/>
    </row>
    <row r="613">
      <c r="I613" s="8"/>
    </row>
    <row r="614">
      <c r="I614" s="8"/>
    </row>
    <row r="615">
      <c r="I615" s="8"/>
    </row>
    <row r="616">
      <c r="I616" s="8"/>
    </row>
    <row r="617">
      <c r="I617" s="8"/>
    </row>
    <row r="618">
      <c r="I618" s="8"/>
    </row>
    <row r="619">
      <c r="I619" s="8"/>
    </row>
    <row r="620">
      <c r="I620" s="8"/>
    </row>
    <row r="621">
      <c r="I621" s="8"/>
    </row>
    <row r="622">
      <c r="I622" s="8"/>
    </row>
    <row r="623">
      <c r="I623" s="8"/>
    </row>
    <row r="624">
      <c r="I624" s="8"/>
    </row>
    <row r="625">
      <c r="I625" s="8"/>
    </row>
    <row r="626">
      <c r="I626" s="8"/>
    </row>
    <row r="627">
      <c r="I627" s="8"/>
    </row>
    <row r="628">
      <c r="I628" s="8"/>
    </row>
    <row r="629">
      <c r="I629" s="8"/>
    </row>
    <row r="630">
      <c r="I630" s="8"/>
    </row>
    <row r="631">
      <c r="I631" s="8"/>
    </row>
    <row r="632">
      <c r="I632" s="8"/>
    </row>
    <row r="633">
      <c r="I633" s="8"/>
    </row>
    <row r="634">
      <c r="I634" s="8"/>
    </row>
    <row r="635">
      <c r="I635" s="8"/>
    </row>
    <row r="636">
      <c r="I636" s="8"/>
    </row>
    <row r="637">
      <c r="I637" s="8"/>
    </row>
    <row r="638">
      <c r="I638" s="8"/>
    </row>
    <row r="639">
      <c r="I639" s="8"/>
    </row>
    <row r="640">
      <c r="I640" s="8"/>
    </row>
    <row r="641">
      <c r="I641" s="8"/>
    </row>
    <row r="642">
      <c r="I642" s="8"/>
    </row>
    <row r="643">
      <c r="I643" s="8"/>
    </row>
    <row r="644">
      <c r="I644" s="8"/>
    </row>
    <row r="645">
      <c r="I645" s="8"/>
    </row>
    <row r="646">
      <c r="I646" s="8"/>
    </row>
    <row r="647">
      <c r="I647" s="8"/>
    </row>
    <row r="648">
      <c r="I648" s="8"/>
    </row>
    <row r="649">
      <c r="I649" s="8"/>
    </row>
    <row r="650">
      <c r="I650" s="8"/>
    </row>
    <row r="651">
      <c r="I651" s="8"/>
    </row>
    <row r="652">
      <c r="I652" s="8"/>
    </row>
    <row r="653">
      <c r="I653" s="8"/>
    </row>
    <row r="654">
      <c r="I654" s="8"/>
    </row>
    <row r="655">
      <c r="I655" s="8"/>
    </row>
    <row r="656">
      <c r="I656" s="8"/>
    </row>
    <row r="657">
      <c r="I657" s="8"/>
    </row>
    <row r="658">
      <c r="I658" s="8"/>
    </row>
    <row r="659">
      <c r="I659" s="8"/>
    </row>
    <row r="660">
      <c r="I660" s="8"/>
    </row>
    <row r="661">
      <c r="I661" s="8"/>
    </row>
    <row r="662">
      <c r="I662" s="8"/>
    </row>
    <row r="663">
      <c r="I663" s="8"/>
    </row>
    <row r="664">
      <c r="I664" s="8"/>
    </row>
    <row r="665">
      <c r="I665" s="8"/>
    </row>
    <row r="666">
      <c r="I666" s="8"/>
    </row>
    <row r="667">
      <c r="I667" s="8"/>
    </row>
    <row r="668">
      <c r="I668" s="8"/>
    </row>
    <row r="669">
      <c r="I669" s="8"/>
    </row>
    <row r="670">
      <c r="I670" s="8"/>
    </row>
    <row r="671">
      <c r="I671" s="8"/>
    </row>
    <row r="672">
      <c r="I672" s="8"/>
    </row>
    <row r="673">
      <c r="I673" s="8"/>
    </row>
    <row r="674">
      <c r="I674" s="8"/>
    </row>
    <row r="675">
      <c r="I675" s="8"/>
    </row>
    <row r="676">
      <c r="I676" s="8"/>
    </row>
    <row r="677">
      <c r="I677" s="8"/>
    </row>
    <row r="678">
      <c r="I678" s="8"/>
    </row>
    <row r="679">
      <c r="I679" s="8"/>
    </row>
    <row r="680">
      <c r="I680" s="8"/>
    </row>
    <row r="681">
      <c r="I681" s="8"/>
    </row>
    <row r="682">
      <c r="I682" s="8"/>
    </row>
    <row r="683">
      <c r="I683" s="8"/>
    </row>
    <row r="684">
      <c r="I684" s="8"/>
    </row>
    <row r="685">
      <c r="I685" s="8"/>
    </row>
    <row r="686">
      <c r="I686" s="8"/>
    </row>
    <row r="687">
      <c r="I687" s="8"/>
    </row>
    <row r="688">
      <c r="I688" s="8"/>
    </row>
    <row r="689">
      <c r="I689" s="8"/>
    </row>
    <row r="690">
      <c r="I690" s="8"/>
    </row>
    <row r="691">
      <c r="I691" s="8"/>
    </row>
    <row r="692">
      <c r="I692" s="8"/>
    </row>
    <row r="693">
      <c r="I693" s="8"/>
    </row>
    <row r="694">
      <c r="I694" s="8"/>
    </row>
    <row r="695">
      <c r="I695" s="8"/>
    </row>
    <row r="696">
      <c r="I696" s="8"/>
    </row>
    <row r="697">
      <c r="I697" s="8"/>
    </row>
    <row r="698">
      <c r="I698" s="8"/>
    </row>
    <row r="699">
      <c r="I699" s="8"/>
    </row>
    <row r="700">
      <c r="I700" s="8"/>
    </row>
    <row r="701">
      <c r="I701" s="8"/>
    </row>
    <row r="702">
      <c r="I702" s="8"/>
    </row>
    <row r="703">
      <c r="I703" s="8"/>
    </row>
    <row r="704">
      <c r="I704" s="8"/>
    </row>
    <row r="705">
      <c r="I705" s="8"/>
    </row>
    <row r="706">
      <c r="I706" s="8"/>
    </row>
    <row r="707">
      <c r="I707" s="8"/>
    </row>
    <row r="708">
      <c r="I708" s="8"/>
    </row>
    <row r="709">
      <c r="I709" s="8"/>
    </row>
    <row r="710">
      <c r="I710" s="8"/>
    </row>
    <row r="711">
      <c r="I711" s="8"/>
    </row>
    <row r="712">
      <c r="I712" s="8"/>
    </row>
    <row r="713">
      <c r="I713" s="8"/>
    </row>
    <row r="714">
      <c r="I714" s="8"/>
    </row>
    <row r="715">
      <c r="I715" s="8"/>
    </row>
    <row r="716">
      <c r="I716" s="8"/>
    </row>
    <row r="717">
      <c r="I717" s="8"/>
    </row>
    <row r="718">
      <c r="I718" s="8"/>
    </row>
    <row r="719">
      <c r="I719" s="8"/>
    </row>
    <row r="720">
      <c r="I720" s="8"/>
    </row>
    <row r="721">
      <c r="I721" s="8"/>
    </row>
    <row r="722">
      <c r="I722" s="8"/>
    </row>
    <row r="723">
      <c r="I723" s="8"/>
    </row>
    <row r="724">
      <c r="I724" s="8"/>
    </row>
    <row r="725">
      <c r="I725" s="8"/>
    </row>
    <row r="726">
      <c r="I726" s="8"/>
    </row>
    <row r="727">
      <c r="I727" s="8"/>
    </row>
    <row r="728">
      <c r="I728" s="8"/>
    </row>
    <row r="729">
      <c r="I729" s="8"/>
    </row>
    <row r="730">
      <c r="I730" s="8"/>
    </row>
    <row r="731">
      <c r="I731" s="8"/>
    </row>
    <row r="732">
      <c r="I732" s="8"/>
    </row>
    <row r="733">
      <c r="I733" s="8"/>
    </row>
    <row r="734">
      <c r="I734" s="8"/>
    </row>
    <row r="735">
      <c r="I735" s="8"/>
    </row>
    <row r="736">
      <c r="I736" s="8"/>
    </row>
    <row r="737">
      <c r="I737" s="8"/>
    </row>
    <row r="738">
      <c r="I738" s="8"/>
    </row>
    <row r="739">
      <c r="I739" s="8"/>
    </row>
    <row r="740">
      <c r="I740" s="8"/>
    </row>
    <row r="741">
      <c r="I741" s="8"/>
    </row>
    <row r="742">
      <c r="I742" s="8"/>
    </row>
    <row r="743">
      <c r="I743" s="8"/>
    </row>
    <row r="744">
      <c r="I744" s="8"/>
    </row>
    <row r="745">
      <c r="I745" s="8"/>
    </row>
    <row r="746">
      <c r="I746" s="8"/>
    </row>
    <row r="747">
      <c r="I747" s="8"/>
    </row>
    <row r="748">
      <c r="I748" s="8"/>
    </row>
    <row r="749">
      <c r="I749" s="8"/>
    </row>
    <row r="750">
      <c r="I750" s="8"/>
    </row>
    <row r="751">
      <c r="I751" s="8"/>
    </row>
    <row r="752">
      <c r="I752" s="8"/>
    </row>
    <row r="753">
      <c r="I753" s="8"/>
    </row>
    <row r="754">
      <c r="I754" s="8"/>
    </row>
    <row r="755">
      <c r="I755" s="8"/>
    </row>
    <row r="756">
      <c r="I756" s="8"/>
    </row>
    <row r="757">
      <c r="I757" s="8"/>
    </row>
    <row r="758">
      <c r="I758" s="8"/>
    </row>
    <row r="759">
      <c r="I759" s="8"/>
    </row>
    <row r="760">
      <c r="I760" s="8"/>
    </row>
    <row r="761">
      <c r="I761" s="8"/>
    </row>
    <row r="762">
      <c r="I762" s="8"/>
    </row>
    <row r="763">
      <c r="I763" s="8"/>
    </row>
    <row r="764">
      <c r="I764" s="8"/>
    </row>
    <row r="765">
      <c r="I765" s="8"/>
    </row>
    <row r="766">
      <c r="I766" s="8"/>
    </row>
    <row r="767">
      <c r="I767" s="8"/>
    </row>
    <row r="768">
      <c r="I768" s="8"/>
    </row>
    <row r="769">
      <c r="I769" s="8"/>
    </row>
    <row r="770">
      <c r="I770" s="8"/>
    </row>
    <row r="771">
      <c r="I771" s="8"/>
    </row>
    <row r="772">
      <c r="I772" s="8"/>
    </row>
    <row r="773">
      <c r="I773" s="8"/>
    </row>
    <row r="774">
      <c r="I774" s="8"/>
    </row>
    <row r="775">
      <c r="I775" s="8"/>
    </row>
    <row r="776">
      <c r="I776" s="8"/>
    </row>
    <row r="777">
      <c r="I777" s="8"/>
    </row>
    <row r="778">
      <c r="I778" s="8"/>
    </row>
    <row r="779">
      <c r="I779" s="8"/>
    </row>
    <row r="780">
      <c r="I780" s="8"/>
    </row>
    <row r="781">
      <c r="I781" s="8"/>
    </row>
    <row r="782">
      <c r="I782" s="8"/>
    </row>
    <row r="783">
      <c r="I783" s="8"/>
    </row>
    <row r="784">
      <c r="I784" s="8"/>
    </row>
    <row r="785">
      <c r="I785" s="8"/>
    </row>
    <row r="786">
      <c r="I786" s="8"/>
    </row>
    <row r="787">
      <c r="I787" s="8"/>
    </row>
    <row r="788">
      <c r="I788" s="8"/>
    </row>
    <row r="789">
      <c r="I789" s="8"/>
    </row>
    <row r="790">
      <c r="I790" s="8"/>
    </row>
    <row r="791">
      <c r="I791" s="8"/>
    </row>
    <row r="792">
      <c r="I792" s="8"/>
    </row>
    <row r="793">
      <c r="I793" s="8"/>
    </row>
    <row r="794">
      <c r="I794" s="8"/>
    </row>
    <row r="795">
      <c r="I795" s="8"/>
    </row>
    <row r="796">
      <c r="I796" s="8"/>
    </row>
    <row r="797">
      <c r="I797" s="8"/>
    </row>
    <row r="798">
      <c r="I798" s="8"/>
    </row>
    <row r="799">
      <c r="I799" s="8"/>
    </row>
    <row r="800">
      <c r="I800" s="8"/>
    </row>
    <row r="801">
      <c r="I801" s="8"/>
    </row>
    <row r="802">
      <c r="I802" s="8"/>
    </row>
    <row r="803">
      <c r="I803" s="8"/>
    </row>
    <row r="804">
      <c r="I804" s="8"/>
    </row>
    <row r="805">
      <c r="I805" s="8"/>
    </row>
    <row r="806">
      <c r="I806" s="8"/>
    </row>
    <row r="807">
      <c r="I807" s="8"/>
    </row>
    <row r="808">
      <c r="I808" s="8"/>
    </row>
    <row r="809">
      <c r="I809" s="8"/>
    </row>
    <row r="810">
      <c r="I810" s="8"/>
    </row>
    <row r="811">
      <c r="I811" s="8"/>
    </row>
    <row r="812">
      <c r="I812" s="8"/>
    </row>
    <row r="813">
      <c r="I813" s="8"/>
    </row>
    <row r="814">
      <c r="I814" s="8"/>
    </row>
    <row r="815">
      <c r="I815" s="8"/>
    </row>
    <row r="816">
      <c r="I816" s="8"/>
    </row>
    <row r="817">
      <c r="I817" s="8"/>
    </row>
    <row r="818">
      <c r="I818" s="8"/>
    </row>
    <row r="819">
      <c r="I819" s="8"/>
    </row>
    <row r="820">
      <c r="I820" s="8"/>
    </row>
    <row r="821">
      <c r="I821" s="8"/>
    </row>
    <row r="822">
      <c r="I822" s="8"/>
    </row>
    <row r="823">
      <c r="I823" s="8"/>
    </row>
    <row r="824">
      <c r="I824" s="8"/>
    </row>
    <row r="825">
      <c r="I825" s="8"/>
    </row>
    <row r="826">
      <c r="I826" s="8"/>
    </row>
    <row r="827">
      <c r="I827" s="8"/>
    </row>
    <row r="828">
      <c r="I828" s="8"/>
    </row>
    <row r="829">
      <c r="I829" s="8"/>
    </row>
    <row r="830">
      <c r="I830" s="8"/>
    </row>
    <row r="831">
      <c r="I831" s="8"/>
    </row>
    <row r="832">
      <c r="I832" s="8"/>
    </row>
    <row r="833">
      <c r="I833" s="8"/>
    </row>
    <row r="834">
      <c r="I834" s="8"/>
    </row>
    <row r="835">
      <c r="I835" s="8"/>
    </row>
    <row r="836">
      <c r="I836" s="8"/>
    </row>
    <row r="837">
      <c r="I837" s="8"/>
    </row>
    <row r="838">
      <c r="I838" s="8"/>
    </row>
    <row r="839">
      <c r="I839" s="8"/>
    </row>
    <row r="840">
      <c r="I840" s="8"/>
    </row>
    <row r="841">
      <c r="I841" s="8"/>
    </row>
    <row r="842">
      <c r="I842" s="8"/>
    </row>
    <row r="843">
      <c r="I843" s="8"/>
    </row>
    <row r="844">
      <c r="I844" s="8"/>
    </row>
    <row r="845">
      <c r="I845" s="8"/>
    </row>
    <row r="846">
      <c r="I846" s="8"/>
    </row>
    <row r="847">
      <c r="I847" s="8"/>
    </row>
    <row r="848">
      <c r="I848" s="8"/>
    </row>
    <row r="849">
      <c r="I849" s="8"/>
    </row>
    <row r="850">
      <c r="I850" s="8"/>
    </row>
    <row r="851">
      <c r="I851" s="8"/>
    </row>
    <row r="852">
      <c r="I852" s="8"/>
    </row>
    <row r="853">
      <c r="I853" s="8"/>
    </row>
    <row r="854">
      <c r="I854" s="8"/>
    </row>
    <row r="855">
      <c r="I855" s="8"/>
    </row>
    <row r="856">
      <c r="I856" s="8"/>
    </row>
    <row r="857">
      <c r="I857" s="8"/>
    </row>
    <row r="858">
      <c r="I858" s="8"/>
    </row>
    <row r="859">
      <c r="I859" s="8"/>
    </row>
    <row r="860">
      <c r="I860" s="8"/>
    </row>
    <row r="861">
      <c r="I861" s="8"/>
    </row>
    <row r="862">
      <c r="I862" s="8"/>
    </row>
    <row r="863">
      <c r="I863" s="8"/>
    </row>
    <row r="864">
      <c r="I864" s="8"/>
    </row>
    <row r="865">
      <c r="I865" s="8"/>
    </row>
    <row r="866">
      <c r="I866" s="8"/>
    </row>
    <row r="867">
      <c r="I867" s="8"/>
    </row>
    <row r="868">
      <c r="I868" s="8"/>
    </row>
    <row r="869">
      <c r="I869" s="8"/>
    </row>
    <row r="870">
      <c r="I870" s="8"/>
    </row>
    <row r="871">
      <c r="I871" s="8"/>
    </row>
    <row r="872">
      <c r="I872" s="8"/>
    </row>
    <row r="873">
      <c r="I873" s="8"/>
    </row>
    <row r="874">
      <c r="I874" s="8"/>
    </row>
    <row r="875">
      <c r="I875" s="8"/>
    </row>
    <row r="876">
      <c r="I876" s="8"/>
    </row>
    <row r="877">
      <c r="I877" s="8"/>
    </row>
    <row r="878">
      <c r="I878" s="8"/>
    </row>
    <row r="879">
      <c r="I879" s="8"/>
    </row>
    <row r="880">
      <c r="I880" s="8"/>
    </row>
    <row r="881">
      <c r="I881" s="8"/>
    </row>
    <row r="882">
      <c r="I882" s="8"/>
    </row>
    <row r="883">
      <c r="I883" s="8"/>
    </row>
    <row r="884">
      <c r="I884" s="8"/>
    </row>
    <row r="885">
      <c r="I885" s="8"/>
    </row>
    <row r="886">
      <c r="I886" s="8"/>
    </row>
    <row r="887">
      <c r="I887" s="8"/>
    </row>
    <row r="888">
      <c r="I888" s="8"/>
    </row>
    <row r="889">
      <c r="I889" s="8"/>
    </row>
    <row r="890">
      <c r="I890" s="8"/>
    </row>
    <row r="891">
      <c r="I891" s="8"/>
    </row>
    <row r="892">
      <c r="I892" s="8"/>
    </row>
    <row r="893">
      <c r="I893" s="8"/>
    </row>
    <row r="894">
      <c r="I894" s="8"/>
    </row>
    <row r="895">
      <c r="I895" s="8"/>
    </row>
    <row r="896">
      <c r="I896" s="8"/>
    </row>
    <row r="897">
      <c r="I897" s="8"/>
    </row>
    <row r="898">
      <c r="I898" s="8"/>
    </row>
    <row r="899">
      <c r="I899" s="8"/>
    </row>
    <row r="900">
      <c r="I900" s="8"/>
    </row>
    <row r="901">
      <c r="I901" s="8"/>
    </row>
    <row r="902">
      <c r="I902" s="8"/>
    </row>
    <row r="903">
      <c r="I903" s="8"/>
    </row>
    <row r="904">
      <c r="I904" s="8"/>
    </row>
    <row r="905">
      <c r="I905" s="8"/>
    </row>
    <row r="906">
      <c r="I906" s="8"/>
    </row>
    <row r="907">
      <c r="I907" s="8"/>
    </row>
    <row r="908">
      <c r="I908" s="8"/>
    </row>
    <row r="909">
      <c r="I909" s="8"/>
    </row>
    <row r="910">
      <c r="I910" s="8"/>
    </row>
    <row r="911">
      <c r="I911" s="8"/>
    </row>
    <row r="912">
      <c r="I912" s="8"/>
    </row>
    <row r="913">
      <c r="I913" s="8"/>
    </row>
    <row r="914">
      <c r="I914" s="8"/>
    </row>
    <row r="915">
      <c r="I915" s="8"/>
    </row>
    <row r="916">
      <c r="I916" s="8"/>
    </row>
    <row r="917">
      <c r="I917" s="8"/>
    </row>
    <row r="918">
      <c r="I918" s="8"/>
    </row>
    <row r="919">
      <c r="I919" s="8"/>
    </row>
    <row r="920">
      <c r="I920" s="8"/>
    </row>
    <row r="921">
      <c r="I921" s="8"/>
    </row>
    <row r="922">
      <c r="I922" s="8"/>
    </row>
    <row r="923">
      <c r="I923" s="8"/>
    </row>
    <row r="924">
      <c r="I924" s="8"/>
    </row>
    <row r="925">
      <c r="I925" s="8"/>
    </row>
    <row r="926">
      <c r="I926" s="8"/>
    </row>
    <row r="927">
      <c r="I927" s="8"/>
    </row>
    <row r="928">
      <c r="I928" s="8"/>
    </row>
    <row r="929">
      <c r="I929" s="8"/>
    </row>
    <row r="930">
      <c r="I930" s="8"/>
    </row>
    <row r="931">
      <c r="I931" s="8"/>
    </row>
    <row r="932">
      <c r="I932" s="8"/>
    </row>
    <row r="933">
      <c r="I933" s="8"/>
    </row>
    <row r="934">
      <c r="I934" s="8"/>
    </row>
    <row r="935">
      <c r="I935" s="8"/>
    </row>
    <row r="936">
      <c r="I936" s="8"/>
    </row>
    <row r="937">
      <c r="I937" s="8"/>
    </row>
    <row r="938">
      <c r="I938" s="8"/>
    </row>
    <row r="939">
      <c r="I939" s="8"/>
    </row>
    <row r="940">
      <c r="I940" s="8"/>
    </row>
    <row r="941">
      <c r="I941" s="8"/>
    </row>
    <row r="942">
      <c r="I942" s="8"/>
    </row>
    <row r="943">
      <c r="I943" s="8"/>
    </row>
    <row r="944">
      <c r="I944" s="8"/>
    </row>
    <row r="945">
      <c r="I945" s="8"/>
    </row>
    <row r="946">
      <c r="I946" s="8"/>
    </row>
    <row r="947">
      <c r="I947" s="8"/>
    </row>
    <row r="948">
      <c r="I948" s="8"/>
    </row>
    <row r="949">
      <c r="I949" s="8"/>
    </row>
    <row r="950">
      <c r="I950" s="8"/>
    </row>
    <row r="951">
      <c r="I951" s="8"/>
    </row>
    <row r="952">
      <c r="I952" s="8"/>
    </row>
    <row r="953">
      <c r="I953" s="8"/>
    </row>
    <row r="954">
      <c r="I954" s="8"/>
    </row>
    <row r="955">
      <c r="I955" s="8"/>
    </row>
    <row r="956">
      <c r="I956" s="8"/>
    </row>
    <row r="957">
      <c r="I957" s="8"/>
    </row>
    <row r="958">
      <c r="I958" s="8"/>
    </row>
    <row r="959">
      <c r="I959" s="8"/>
    </row>
    <row r="960">
      <c r="I960" s="8"/>
    </row>
    <row r="961">
      <c r="I961" s="8"/>
    </row>
    <row r="962">
      <c r="I962" s="8"/>
    </row>
    <row r="963">
      <c r="I963" s="8"/>
    </row>
    <row r="964">
      <c r="I964" s="8"/>
    </row>
    <row r="965">
      <c r="I965" s="8"/>
    </row>
    <row r="966">
      <c r="I966" s="8"/>
    </row>
    <row r="967">
      <c r="I967" s="8"/>
    </row>
    <row r="968">
      <c r="I968" s="8"/>
    </row>
    <row r="969">
      <c r="I969" s="8"/>
    </row>
    <row r="970">
      <c r="I970" s="8"/>
    </row>
    <row r="971">
      <c r="I971" s="8"/>
    </row>
    <row r="972">
      <c r="I972" s="8"/>
    </row>
    <row r="973">
      <c r="I973" s="8"/>
    </row>
    <row r="974">
      <c r="I974" s="8"/>
    </row>
    <row r="975">
      <c r="I975" s="8"/>
    </row>
    <row r="976">
      <c r="I976" s="8"/>
    </row>
    <row r="977">
      <c r="I977" s="8"/>
    </row>
    <row r="978">
      <c r="I978" s="8"/>
    </row>
    <row r="979">
      <c r="I979" s="8"/>
    </row>
    <row r="980">
      <c r="I980" s="8"/>
    </row>
    <row r="981">
      <c r="I981" s="8"/>
    </row>
    <row r="982">
      <c r="I982" s="8"/>
    </row>
    <row r="983">
      <c r="I983" s="8"/>
    </row>
    <row r="984">
      <c r="I984" s="8"/>
    </row>
    <row r="985">
      <c r="I985" s="8"/>
    </row>
    <row r="986">
      <c r="I986" s="8"/>
    </row>
    <row r="987">
      <c r="I987" s="8"/>
    </row>
    <row r="988">
      <c r="I988" s="8"/>
    </row>
    <row r="989">
      <c r="I989" s="8"/>
    </row>
    <row r="990">
      <c r="I990" s="8"/>
    </row>
    <row r="991">
      <c r="I991" s="8"/>
    </row>
    <row r="992">
      <c r="I992" s="8"/>
    </row>
    <row r="993">
      <c r="I993" s="8"/>
    </row>
    <row r="994">
      <c r="I994" s="8"/>
    </row>
    <row r="995">
      <c r="I995" s="8"/>
    </row>
    <row r="996">
      <c r="I996" s="8"/>
    </row>
    <row r="997">
      <c r="I997" s="8"/>
    </row>
    <row r="998">
      <c r="I998" s="8"/>
    </row>
    <row r="999">
      <c r="I999" s="8"/>
    </row>
    <row r="1000">
      <c r="I1000" s="8"/>
    </row>
  </sheetData>
  <conditionalFormatting sqref="S2:S28">
    <cfRule type="cellIs" dxfId="0" priority="1" operator="greaterThanOrEqual">
      <formula>3</formula>
    </cfRule>
  </conditionalFormatting>
  <conditionalFormatting sqref="S2:S28">
    <cfRule type="cellIs" dxfId="1" priority="2" operator="between">
      <formula>2.8</formula>
      <formula>2.9999</formula>
    </cfRule>
  </conditionalFormatting>
  <conditionalFormatting sqref="S2:S28">
    <cfRule type="cellIs" dxfId="4" priority="3" operator="lessThan">
      <formula>2.8</formula>
    </cfRule>
  </conditionalFormatting>
  <drawing r:id="rId1"/>
</worksheet>
</file>