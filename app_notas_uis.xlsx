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7.38"/>
    <col customWidth="1" min="15" max="15" width="8.25"/>
    <col customWidth="1" min="16" max="17" width="3.88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IFERROR(__xludf.DUMMYFUNCTION("IMPORTRANGE(""1ZPOqQHbu3GgkppWiT-MJmzSSa45xtiJhgLbHBetpC4Q"",""CALCULO2!A1:O34"")"),"No")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/>
      <c r="M1" s="1"/>
      <c r="N1" s="5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</row>
    <row r="2">
      <c r="A2" s="6">
        <f>IFERROR(__xludf.DUMMYFUNCTION("""COMPUTED_VALUE"""),1.0)</f>
        <v>1</v>
      </c>
      <c r="B2" s="7" t="str">
        <f>IFERROR(__xludf.DUMMYFUNCTION("""COMPUTED_VALUE"""),"ALVAREZ LOAIZA MARIO ANDRES")</f>
        <v>ALVAREZ LOAIZA MARIO ANDRES</v>
      </c>
      <c r="C2" s="6">
        <f>IFERROR(__xludf.DUMMYFUNCTION("""COMPUTED_VALUE"""),5.0)</f>
        <v>5</v>
      </c>
      <c r="D2" s="6"/>
      <c r="E2" s="6"/>
      <c r="F2" s="6"/>
      <c r="G2" s="6"/>
      <c r="H2" s="6"/>
      <c r="I2" s="6">
        <f>IFERROR(__xludf.DUMMYFUNCTION("""COMPUTED_VALUE"""),5.0)</f>
        <v>5</v>
      </c>
      <c r="J2" s="6">
        <f>IFERROR(__xludf.DUMMYFUNCTION("""COMPUTED_VALUE"""),5.0)</f>
        <v>5</v>
      </c>
      <c r="K2" s="6">
        <f>IFERROR(__xludf.DUMMYFUNCTION("""COMPUTED_VALUE"""),3.46)</f>
        <v>3.46</v>
      </c>
      <c r="L2" s="6"/>
      <c r="M2" s="6"/>
      <c r="N2" s="6"/>
      <c r="O2" s="6">
        <f>IFERROR(__xludf.DUMMYFUNCTION("""COMPUTED_VALUE"""),2260565.0)</f>
        <v>2260565</v>
      </c>
      <c r="P2" s="6"/>
      <c r="Q2" s="6"/>
      <c r="R2" s="6"/>
      <c r="S2" s="6"/>
      <c r="T2" s="6"/>
      <c r="U2" s="6"/>
      <c r="V2" s="6"/>
      <c r="W2" s="6"/>
      <c r="X2" s="6"/>
    </row>
    <row r="3">
      <c r="A3" s="6">
        <f>IFERROR(__xludf.DUMMYFUNCTION("""COMPUTED_VALUE"""),2.0)</f>
        <v>2</v>
      </c>
      <c r="B3" s="7" t="str">
        <f>IFERROR(__xludf.DUMMYFUNCTION("""COMPUTED_VALUE"""),"AMADO HERNANDEZ NIKOL JIMENA")</f>
        <v>AMADO HERNANDEZ NIKOL JIMENA</v>
      </c>
      <c r="C3" s="6">
        <f>IFERROR(__xludf.DUMMYFUNCTION("""COMPUTED_VALUE"""),4.7)</f>
        <v>4.7</v>
      </c>
      <c r="D3" s="6"/>
      <c r="E3" s="6"/>
      <c r="F3" s="6"/>
      <c r="G3" s="6"/>
      <c r="H3" s="6"/>
      <c r="I3" s="6">
        <f>IFERROR(__xludf.DUMMYFUNCTION("""COMPUTED_VALUE"""),3.5)</f>
        <v>3.5</v>
      </c>
      <c r="J3" s="6">
        <f>IFERROR(__xludf.DUMMYFUNCTION("""COMPUTED_VALUE"""),5.0)</f>
        <v>5</v>
      </c>
      <c r="K3" s="6">
        <f>IFERROR(__xludf.DUMMYFUNCTION("""COMPUTED_VALUE"""),0.0)</f>
        <v>0</v>
      </c>
      <c r="L3" s="6"/>
      <c r="M3" s="6"/>
      <c r="N3" s="6"/>
      <c r="O3" s="6">
        <f>IFERROR(__xludf.DUMMYFUNCTION("""COMPUTED_VALUE"""),2253501.0)</f>
        <v>2253501</v>
      </c>
      <c r="P3" s="6"/>
      <c r="Q3" s="6"/>
      <c r="R3" s="6"/>
      <c r="S3" s="6"/>
      <c r="T3" s="6"/>
      <c r="U3" s="6"/>
      <c r="V3" s="6"/>
      <c r="W3" s="6"/>
      <c r="X3" s="6"/>
    </row>
    <row r="4">
      <c r="A4" s="6">
        <f>IFERROR(__xludf.DUMMYFUNCTION("""COMPUTED_VALUE"""),3.0)</f>
        <v>3</v>
      </c>
      <c r="B4" s="7" t="str">
        <f>IFERROR(__xludf.DUMMYFUNCTION("""COMPUTED_VALUE"""),"AMAYA JAIMES MIGUEL ENRIQUE")</f>
        <v>AMAYA JAIMES MIGUEL ENRIQUE</v>
      </c>
      <c r="C4" s="6">
        <f>IFERROR(__xludf.DUMMYFUNCTION("""COMPUTED_VALUE"""),4.4)</f>
        <v>4.4</v>
      </c>
      <c r="D4" s="6"/>
      <c r="E4" s="6"/>
      <c r="F4" s="6"/>
      <c r="G4" s="6"/>
      <c r="H4" s="6"/>
      <c r="I4" s="6">
        <f>IFERROR(__xludf.DUMMYFUNCTION("""COMPUTED_VALUE"""),1.0)</f>
        <v>1</v>
      </c>
      <c r="J4" s="6">
        <f>IFERROR(__xludf.DUMMYFUNCTION("""COMPUTED_VALUE"""),5.0)</f>
        <v>5</v>
      </c>
      <c r="K4" s="6">
        <f>IFERROR(__xludf.DUMMYFUNCTION("""COMPUTED_VALUE"""),0.0)</f>
        <v>0</v>
      </c>
      <c r="L4" s="6"/>
      <c r="M4" s="6"/>
      <c r="N4" s="6"/>
      <c r="O4" s="6">
        <f>IFERROR(__xludf.DUMMYFUNCTION("""COMPUTED_VALUE"""),2260261.0)</f>
        <v>2260261</v>
      </c>
      <c r="P4" s="6"/>
      <c r="Q4" s="6"/>
      <c r="R4" s="6"/>
      <c r="S4" s="6"/>
      <c r="T4" s="6"/>
      <c r="U4" s="6"/>
      <c r="V4" s="6"/>
      <c r="W4" s="6"/>
      <c r="X4" s="6"/>
    </row>
    <row r="5">
      <c r="A5" s="6">
        <f>IFERROR(__xludf.DUMMYFUNCTION("""COMPUTED_VALUE"""),4.0)</f>
        <v>4</v>
      </c>
      <c r="B5" s="7" t="str">
        <f>IFERROR(__xludf.DUMMYFUNCTION("""COMPUTED_VALUE"""),"AMAYA VILLAMIZAR ANDRES SEBASTIAN")</f>
        <v>AMAYA VILLAMIZAR ANDRES SEBASTIAN</v>
      </c>
      <c r="C5" s="6">
        <f>IFERROR(__xludf.DUMMYFUNCTION("""COMPUTED_VALUE"""),0.1)</f>
        <v>0.1</v>
      </c>
      <c r="D5" s="6"/>
      <c r="E5" s="6"/>
      <c r="F5" s="6"/>
      <c r="G5" s="6"/>
      <c r="H5" s="6"/>
      <c r="I5" s="6">
        <f>IFERROR(__xludf.DUMMYFUNCTION("""COMPUTED_VALUE"""),0.5)</f>
        <v>0.5</v>
      </c>
      <c r="J5" s="6">
        <f>IFERROR(__xludf.DUMMYFUNCTION("""COMPUTED_VALUE"""),0.0)</f>
        <v>0</v>
      </c>
      <c r="K5" s="6">
        <f>IFERROR(__xludf.DUMMYFUNCTION("""COMPUTED_VALUE"""),0.0)</f>
        <v>0</v>
      </c>
      <c r="L5" s="6"/>
      <c r="M5" s="6"/>
      <c r="N5" s="6"/>
      <c r="O5" s="6">
        <f>IFERROR(__xludf.DUMMYFUNCTION("""COMPUTED_VALUE"""),2262392.0)</f>
        <v>2262392</v>
      </c>
      <c r="P5" s="6"/>
      <c r="Q5" s="6"/>
      <c r="R5" s="6"/>
      <c r="S5" s="6"/>
      <c r="T5" s="6"/>
      <c r="U5" s="6"/>
      <c r="V5" s="6"/>
      <c r="W5" s="6"/>
      <c r="X5" s="6"/>
    </row>
    <row r="6">
      <c r="A6" s="6">
        <f>IFERROR(__xludf.DUMMYFUNCTION("""COMPUTED_VALUE"""),5.0)</f>
        <v>5</v>
      </c>
      <c r="B6" s="7" t="str">
        <f>IFERROR(__xludf.DUMMYFUNCTION("""COMPUTED_VALUE"""),"BAEZ ZAMBRANO JERONIMO")</f>
        <v>BAEZ ZAMBRANO JERONIMO</v>
      </c>
      <c r="C6" s="6">
        <f>IFERROR(__xludf.DUMMYFUNCTION("""COMPUTED_VALUE"""),5.0)</f>
        <v>5</v>
      </c>
      <c r="D6" s="6"/>
      <c r="E6" s="6"/>
      <c r="F6" s="6"/>
      <c r="G6" s="6"/>
      <c r="H6" s="6"/>
      <c r="I6" s="6">
        <f>IFERROR(__xludf.DUMMYFUNCTION("""COMPUTED_VALUE"""),0.0)</f>
        <v>0</v>
      </c>
      <c r="J6" s="6">
        <f>IFERROR(__xludf.DUMMYFUNCTION("""COMPUTED_VALUE"""),5.0)</f>
        <v>5</v>
      </c>
      <c r="K6" s="6">
        <f>IFERROR(__xludf.DUMMYFUNCTION("""COMPUTED_VALUE"""),0.0)</f>
        <v>0</v>
      </c>
      <c r="L6" s="6"/>
      <c r="M6" s="6"/>
      <c r="N6" s="6"/>
      <c r="O6" s="6">
        <f>IFERROR(__xludf.DUMMYFUNCTION("""COMPUTED_VALUE"""),2260512.0)</f>
        <v>2260512</v>
      </c>
      <c r="P6" s="6"/>
      <c r="Q6" s="6"/>
      <c r="R6" s="6"/>
      <c r="S6" s="6"/>
      <c r="T6" s="6"/>
      <c r="U6" s="6"/>
      <c r="V6" s="6"/>
      <c r="W6" s="6"/>
      <c r="X6" s="6"/>
    </row>
    <row r="7">
      <c r="A7" s="6">
        <f>IFERROR(__xludf.DUMMYFUNCTION("""COMPUTED_VALUE"""),6.0)</f>
        <v>6</v>
      </c>
      <c r="B7" s="7" t="str">
        <f>IFERROR(__xludf.DUMMYFUNCTION("""COMPUTED_VALUE"""),"BETANCOURT ROA SHERMAN")</f>
        <v>BETANCOURT ROA SHERMAN</v>
      </c>
      <c r="C7" s="6">
        <f>IFERROR(__xludf.DUMMYFUNCTION("""COMPUTED_VALUE"""),1.9)</f>
        <v>1.9</v>
      </c>
      <c r="D7" s="6"/>
      <c r="E7" s="6"/>
      <c r="F7" s="6"/>
      <c r="G7" s="6"/>
      <c r="H7" s="6"/>
      <c r="I7" s="6">
        <f>IFERROR(__xludf.DUMMYFUNCTION("""COMPUTED_VALUE"""),1.0)</f>
        <v>1</v>
      </c>
      <c r="J7" s="6">
        <f>IFERROR(__xludf.DUMMYFUNCTION("""COMPUTED_VALUE"""),0.0)</f>
        <v>0</v>
      </c>
      <c r="K7" s="6">
        <f>IFERROR(__xludf.DUMMYFUNCTION("""COMPUTED_VALUE"""),0.0)</f>
        <v>0</v>
      </c>
      <c r="L7" s="6"/>
      <c r="M7" s="6"/>
      <c r="N7" s="6"/>
      <c r="O7" s="6">
        <f>IFERROR(__xludf.DUMMYFUNCTION("""COMPUTED_VALUE"""),2242404.0)</f>
        <v>2242404</v>
      </c>
      <c r="P7" s="6"/>
      <c r="Q7" s="6"/>
      <c r="R7" s="6"/>
      <c r="S7" s="6"/>
      <c r="T7" s="6"/>
      <c r="U7" s="6"/>
      <c r="V7" s="6"/>
      <c r="W7" s="6"/>
      <c r="X7" s="6"/>
    </row>
    <row r="8">
      <c r="A8" s="6">
        <f>IFERROR(__xludf.DUMMYFUNCTION("""COMPUTED_VALUE"""),7.0)</f>
        <v>7</v>
      </c>
      <c r="B8" s="7" t="str">
        <f>IFERROR(__xludf.DUMMYFUNCTION("""COMPUTED_VALUE"""),"CAMARGO BONILLA MARIA ALEJANDRA")</f>
        <v>CAMARGO BONILLA MARIA ALEJANDRA</v>
      </c>
      <c r="C8" s="6">
        <f>IFERROR(__xludf.DUMMYFUNCTION("""COMPUTED_VALUE"""),5.0)</f>
        <v>5</v>
      </c>
      <c r="D8" s="6"/>
      <c r="E8" s="6"/>
      <c r="F8" s="6"/>
      <c r="G8" s="6"/>
      <c r="H8" s="6"/>
      <c r="I8" s="6">
        <f>IFERROR(__xludf.DUMMYFUNCTION("""COMPUTED_VALUE"""),3.6)</f>
        <v>3.6</v>
      </c>
      <c r="J8" s="6">
        <f>IFERROR(__xludf.DUMMYFUNCTION("""COMPUTED_VALUE"""),5.0)</f>
        <v>5</v>
      </c>
      <c r="K8" s="6">
        <f>IFERROR(__xludf.DUMMYFUNCTION("""COMPUTED_VALUE"""),3.79)</f>
        <v>3.79</v>
      </c>
      <c r="L8" s="6"/>
      <c r="M8" s="6"/>
      <c r="N8" s="6"/>
      <c r="O8" s="6">
        <f>IFERROR(__xludf.DUMMYFUNCTION("""COMPUTED_VALUE"""),2261224.0)</f>
        <v>2261224</v>
      </c>
      <c r="P8" s="6"/>
      <c r="Q8" s="6"/>
      <c r="R8" s="6"/>
      <c r="S8" s="6"/>
      <c r="T8" s="6"/>
      <c r="U8" s="6"/>
      <c r="V8" s="6"/>
      <c r="W8" s="6"/>
      <c r="X8" s="6"/>
    </row>
    <row r="9">
      <c r="A9" s="6">
        <f>IFERROR(__xludf.DUMMYFUNCTION("""COMPUTED_VALUE"""),8.0)</f>
        <v>8</v>
      </c>
      <c r="B9" s="7" t="str">
        <f>IFERROR(__xludf.DUMMYFUNCTION("""COMPUTED_VALUE"""),"CORREA ECHEVERRI SIMON")</f>
        <v>CORREA ECHEVERRI SIMON</v>
      </c>
      <c r="C9" s="6">
        <f>IFERROR(__xludf.DUMMYFUNCTION("""COMPUTED_VALUE"""),2.4)</f>
        <v>2.4</v>
      </c>
      <c r="D9" s="6"/>
      <c r="E9" s="6"/>
      <c r="F9" s="6"/>
      <c r="G9" s="6"/>
      <c r="H9" s="6"/>
      <c r="I9" s="6">
        <f>IFERROR(__xludf.DUMMYFUNCTION("""COMPUTED_VALUE"""),1.0)</f>
        <v>1</v>
      </c>
      <c r="J9" s="6">
        <f>IFERROR(__xludf.DUMMYFUNCTION("""COMPUTED_VALUE"""),5.0)</f>
        <v>5</v>
      </c>
      <c r="K9" s="6">
        <f>IFERROR(__xludf.DUMMYFUNCTION("""COMPUTED_VALUE"""),3.79)</f>
        <v>3.79</v>
      </c>
      <c r="L9" s="6"/>
      <c r="M9" s="6"/>
      <c r="N9" s="6"/>
      <c r="O9" s="6">
        <f>IFERROR(__xludf.DUMMYFUNCTION("""COMPUTED_VALUE"""),2261262.0)</f>
        <v>2261262</v>
      </c>
      <c r="P9" s="6"/>
      <c r="Q9" s="6"/>
      <c r="R9" s="6"/>
      <c r="S9" s="6"/>
      <c r="T9" s="6"/>
      <c r="U9" s="6"/>
      <c r="V9" s="6"/>
      <c r="W9" s="6"/>
      <c r="X9" s="6"/>
    </row>
    <row r="10">
      <c r="A10" s="6">
        <f>IFERROR(__xludf.DUMMYFUNCTION("""COMPUTED_VALUE"""),9.0)</f>
        <v>9</v>
      </c>
      <c r="B10" s="7" t="str">
        <f>IFERROR(__xludf.DUMMYFUNCTION("""COMPUTED_VALUE"""),"CRUZ ORTIZ KEVIN JHOVANY")</f>
        <v>CRUZ ORTIZ KEVIN JHOVANY</v>
      </c>
      <c r="C10" s="6">
        <f>IFERROR(__xludf.DUMMYFUNCTION("""COMPUTED_VALUE"""),5.0)</f>
        <v>5</v>
      </c>
      <c r="D10" s="6"/>
      <c r="E10" s="6"/>
      <c r="F10" s="6"/>
      <c r="G10" s="6"/>
      <c r="H10" s="6"/>
      <c r="I10" s="6">
        <f>IFERROR(__xludf.DUMMYFUNCTION("""COMPUTED_VALUE"""),3.6)</f>
        <v>3.6</v>
      </c>
      <c r="J10" s="6">
        <f>IFERROR(__xludf.DUMMYFUNCTION("""COMPUTED_VALUE"""),5.0)</f>
        <v>5</v>
      </c>
      <c r="K10" s="6">
        <f>IFERROR(__xludf.DUMMYFUNCTION("""COMPUTED_VALUE"""),3.46)</f>
        <v>3.46</v>
      </c>
      <c r="L10" s="6"/>
      <c r="M10" s="6"/>
      <c r="N10" s="6"/>
      <c r="O10" s="6">
        <f>IFERROR(__xludf.DUMMYFUNCTION("""COMPUTED_VALUE"""),2260666.0)</f>
        <v>2260666</v>
      </c>
      <c r="P10" s="6"/>
      <c r="Q10" s="6"/>
      <c r="R10" s="6"/>
      <c r="S10" s="6"/>
      <c r="T10" s="6"/>
      <c r="U10" s="6"/>
      <c r="V10" s="6"/>
      <c r="W10" s="6"/>
      <c r="X10" s="6"/>
    </row>
    <row r="11">
      <c r="A11" s="6">
        <f>IFERROR(__xludf.DUMMYFUNCTION("""COMPUTED_VALUE"""),10.0)</f>
        <v>10</v>
      </c>
      <c r="B11" s="7" t="str">
        <f>IFERROR(__xludf.DUMMYFUNCTION("""COMPUTED_VALUE"""),"DUARTE PACHECO VALENTINA")</f>
        <v>DUARTE PACHECO VALENTINA</v>
      </c>
      <c r="C11" s="6">
        <f>IFERROR(__xludf.DUMMYFUNCTION("""COMPUTED_VALUE"""),5.0)</f>
        <v>5</v>
      </c>
      <c r="D11" s="6"/>
      <c r="E11" s="6"/>
      <c r="F11" s="6"/>
      <c r="G11" s="6"/>
      <c r="H11" s="6"/>
      <c r="I11" s="6">
        <f>IFERROR(__xludf.DUMMYFUNCTION("""COMPUTED_VALUE"""),4.0)</f>
        <v>4</v>
      </c>
      <c r="J11" s="6">
        <f>IFERROR(__xludf.DUMMYFUNCTION("""COMPUTED_VALUE"""),5.0)</f>
        <v>5</v>
      </c>
      <c r="K11" s="6">
        <f>IFERROR(__xludf.DUMMYFUNCTION("""COMPUTED_VALUE"""),3.27)</f>
        <v>3.27</v>
      </c>
      <c r="L11" s="6"/>
      <c r="M11" s="6"/>
      <c r="N11" s="6"/>
      <c r="O11" s="6">
        <f>IFERROR(__xludf.DUMMYFUNCTION("""COMPUTED_VALUE"""),2260302.0)</f>
        <v>2260302</v>
      </c>
      <c r="P11" s="6"/>
      <c r="Q11" s="6"/>
      <c r="R11" s="6"/>
      <c r="S11" s="6"/>
      <c r="T11" s="6"/>
      <c r="U11" s="6"/>
      <c r="V11" s="6"/>
      <c r="W11" s="6"/>
      <c r="X11" s="6"/>
    </row>
    <row r="12">
      <c r="A12" s="6">
        <f>IFERROR(__xludf.DUMMYFUNCTION("""COMPUTED_VALUE"""),11.0)</f>
        <v>11</v>
      </c>
      <c r="B12" s="7" t="str">
        <f>IFERROR(__xludf.DUMMYFUNCTION("""COMPUTED_VALUE"""),"ESPITIA HERNANDEZ CAMILO ANDRES")</f>
        <v>ESPITIA HERNANDEZ CAMILO ANDRES</v>
      </c>
      <c r="C12" s="6">
        <f>IFERROR(__xludf.DUMMYFUNCTION("""COMPUTED_VALUE"""),5.0)</f>
        <v>5</v>
      </c>
      <c r="D12" s="6"/>
      <c r="E12" s="6"/>
      <c r="F12" s="6"/>
      <c r="G12" s="6"/>
      <c r="H12" s="6"/>
      <c r="I12" s="6">
        <f>IFERROR(__xludf.DUMMYFUNCTION("""COMPUTED_VALUE"""),3.8)</f>
        <v>3.8</v>
      </c>
      <c r="J12" s="6">
        <f>IFERROR(__xludf.DUMMYFUNCTION("""COMPUTED_VALUE"""),5.0)</f>
        <v>5</v>
      </c>
      <c r="K12" s="6">
        <f>IFERROR(__xludf.DUMMYFUNCTION("""COMPUTED_VALUE"""),4.91)</f>
        <v>4.91</v>
      </c>
      <c r="L12" s="6"/>
      <c r="M12" s="6"/>
      <c r="N12" s="6"/>
      <c r="O12" s="6">
        <f>IFERROR(__xludf.DUMMYFUNCTION("""COMPUTED_VALUE"""),2261288.0)</f>
        <v>2261288</v>
      </c>
      <c r="P12" s="6"/>
      <c r="Q12" s="6"/>
      <c r="R12" s="6"/>
      <c r="S12" s="6"/>
      <c r="T12" s="6"/>
      <c r="U12" s="6"/>
      <c r="V12" s="6"/>
      <c r="W12" s="6"/>
      <c r="X12" s="6"/>
    </row>
    <row r="13">
      <c r="A13" s="6">
        <f>IFERROR(__xludf.DUMMYFUNCTION("""COMPUTED_VALUE"""),12.0)</f>
        <v>12</v>
      </c>
      <c r="B13" s="7" t="str">
        <f>IFERROR(__xludf.DUMMYFUNCTION("""COMPUTED_VALUE"""),"GALVIS MARTINEZ LUIS ALEJANDRO")</f>
        <v>GALVIS MARTINEZ LUIS ALEJANDRO</v>
      </c>
      <c r="C13" s="6">
        <f>IFERROR(__xludf.DUMMYFUNCTION("""COMPUTED_VALUE"""),1.4)</f>
        <v>1.4</v>
      </c>
      <c r="D13" s="6"/>
      <c r="E13" s="6"/>
      <c r="F13" s="6"/>
      <c r="G13" s="6"/>
      <c r="H13" s="6"/>
      <c r="I13" s="6">
        <f>IFERROR(__xludf.DUMMYFUNCTION("""COMPUTED_VALUE"""),0.0)</f>
        <v>0</v>
      </c>
      <c r="J13" s="6">
        <f>IFERROR(__xludf.DUMMYFUNCTION("""COMPUTED_VALUE"""),5.0)</f>
        <v>5</v>
      </c>
      <c r="K13" s="6">
        <f>IFERROR(__xludf.DUMMYFUNCTION("""COMPUTED_VALUE"""),1.4)</f>
        <v>1.4</v>
      </c>
      <c r="L13" s="6"/>
      <c r="M13" s="6"/>
      <c r="N13" s="6"/>
      <c r="O13" s="6">
        <f>IFERROR(__xludf.DUMMYFUNCTION("""COMPUTED_VALUE"""),2251651.0)</f>
        <v>2251651</v>
      </c>
      <c r="P13" s="6"/>
      <c r="Q13" s="6"/>
      <c r="R13" s="6"/>
      <c r="S13" s="6"/>
      <c r="T13" s="6"/>
      <c r="U13" s="6"/>
      <c r="V13" s="6"/>
      <c r="W13" s="6"/>
      <c r="X13" s="6"/>
    </row>
    <row r="14">
      <c r="A14" s="6">
        <f>IFERROR(__xludf.DUMMYFUNCTION("""COMPUTED_VALUE"""),13.0)</f>
        <v>13</v>
      </c>
      <c r="B14" s="7" t="str">
        <f>IFERROR(__xludf.DUMMYFUNCTION("""COMPUTED_VALUE"""),"GOMEZ MANOSALVA SANTIAGO ALEXANDER")</f>
        <v>GOMEZ MANOSALVA SANTIAGO ALEXANDER</v>
      </c>
      <c r="C14" s="6">
        <f>IFERROR(__xludf.DUMMYFUNCTION("""COMPUTED_VALUE"""),4.2)</f>
        <v>4.2</v>
      </c>
      <c r="D14" s="6"/>
      <c r="E14" s="6"/>
      <c r="F14" s="6"/>
      <c r="G14" s="6"/>
      <c r="H14" s="6"/>
      <c r="I14" s="6">
        <f>IFERROR(__xludf.DUMMYFUNCTION("""COMPUTED_VALUE"""),1.5)</f>
        <v>1.5</v>
      </c>
      <c r="J14" s="6">
        <f>IFERROR(__xludf.DUMMYFUNCTION("""COMPUTED_VALUE"""),5.0)</f>
        <v>5</v>
      </c>
      <c r="K14" s="6">
        <f>IFERROR(__xludf.DUMMYFUNCTION("""COMPUTED_VALUE"""),5.0)</f>
        <v>5</v>
      </c>
      <c r="L14" s="6"/>
      <c r="M14" s="6"/>
      <c r="N14" s="6"/>
      <c r="O14" s="6">
        <f>IFERROR(__xludf.DUMMYFUNCTION("""COMPUTED_VALUE"""),2252209.0)</f>
        <v>2252209</v>
      </c>
      <c r="P14" s="6"/>
      <c r="Q14" s="6"/>
      <c r="R14" s="6"/>
      <c r="S14" s="6"/>
      <c r="T14" s="6"/>
      <c r="U14" s="6"/>
      <c r="V14" s="6"/>
      <c r="W14" s="6"/>
      <c r="X14" s="6"/>
    </row>
    <row r="15">
      <c r="A15" s="6">
        <f>IFERROR(__xludf.DUMMYFUNCTION("""COMPUTED_VALUE"""),14.0)</f>
        <v>14</v>
      </c>
      <c r="B15" s="7" t="str">
        <f>IFERROR(__xludf.DUMMYFUNCTION("""COMPUTED_VALUE"""),"GOMEZ RANGEL NATHANIEL ESTEBAN")</f>
        <v>GOMEZ RANGEL NATHANIEL ESTEBAN</v>
      </c>
      <c r="C15" s="6">
        <f>IFERROR(__xludf.DUMMYFUNCTION("""COMPUTED_VALUE"""),5.0)</f>
        <v>5</v>
      </c>
      <c r="D15" s="6"/>
      <c r="E15" s="6"/>
      <c r="F15" s="6"/>
      <c r="G15" s="6"/>
      <c r="H15" s="6"/>
      <c r="I15" s="6">
        <f>IFERROR(__xludf.DUMMYFUNCTION("""COMPUTED_VALUE"""),2.0)</f>
        <v>2</v>
      </c>
      <c r="J15" s="6">
        <f>IFERROR(__xludf.DUMMYFUNCTION("""COMPUTED_VALUE"""),5.0)</f>
        <v>5</v>
      </c>
      <c r="K15" s="6">
        <f>IFERROR(__xludf.DUMMYFUNCTION("""COMPUTED_VALUE"""),0.0)</f>
        <v>0</v>
      </c>
      <c r="L15" s="6"/>
      <c r="M15" s="6"/>
      <c r="N15" s="6"/>
      <c r="O15" s="6">
        <f>IFERROR(__xludf.DUMMYFUNCTION("""COMPUTED_VALUE"""),2260698.0)</f>
        <v>2260698</v>
      </c>
      <c r="P15" s="6"/>
      <c r="Q15" s="6"/>
      <c r="R15" s="6"/>
      <c r="S15" s="6"/>
      <c r="T15" s="6"/>
      <c r="U15" s="6"/>
      <c r="V15" s="6"/>
      <c r="W15" s="6"/>
      <c r="X15" s="6"/>
    </row>
    <row r="16">
      <c r="A16" s="6">
        <f>IFERROR(__xludf.DUMMYFUNCTION("""COMPUTED_VALUE"""),15.0)</f>
        <v>15</v>
      </c>
      <c r="B16" s="7" t="str">
        <f>IFERROR(__xludf.DUMMYFUNCTION("""COMPUTED_VALUE"""),"GOMEZ UZCATEGUI DIEGO DAVID")</f>
        <v>GOMEZ UZCATEGUI DIEGO DAVID</v>
      </c>
      <c r="C16" s="6">
        <f>IFERROR(__xludf.DUMMYFUNCTION("""COMPUTED_VALUE"""),3.5)</f>
        <v>3.5</v>
      </c>
      <c r="D16" s="6"/>
      <c r="E16" s="6"/>
      <c r="F16" s="6"/>
      <c r="G16" s="6"/>
      <c r="H16" s="6"/>
      <c r="I16" s="6">
        <f>IFERROR(__xludf.DUMMYFUNCTION("""COMPUTED_VALUE"""),0.0)</f>
        <v>0</v>
      </c>
      <c r="J16" s="6">
        <f>IFERROR(__xludf.DUMMYFUNCTION("""COMPUTED_VALUE"""),0.0)</f>
        <v>0</v>
      </c>
      <c r="K16" s="6">
        <f>IFERROR(__xludf.DUMMYFUNCTION("""COMPUTED_VALUE"""),1.21)</f>
        <v>1.21</v>
      </c>
      <c r="L16" s="6"/>
      <c r="M16" s="6"/>
      <c r="N16" s="6"/>
      <c r="O16" s="6">
        <f>IFERROR(__xludf.DUMMYFUNCTION("""COMPUTED_VALUE"""),2260495.0)</f>
        <v>2260495</v>
      </c>
      <c r="P16" s="6"/>
      <c r="Q16" s="6"/>
      <c r="R16" s="6"/>
      <c r="S16" s="6"/>
      <c r="T16" s="6"/>
      <c r="U16" s="6"/>
      <c r="V16" s="6"/>
      <c r="W16" s="6"/>
      <c r="X16" s="6"/>
    </row>
    <row r="17">
      <c r="A17" s="6">
        <f>IFERROR(__xludf.DUMMYFUNCTION("""COMPUTED_VALUE"""),16.0)</f>
        <v>16</v>
      </c>
      <c r="B17" s="7" t="str">
        <f>IFERROR(__xludf.DUMMYFUNCTION("""COMPUTED_VALUE"""),"GUERRERO MEDINA GUSTAVO ANDRES")</f>
        <v>GUERRERO MEDINA GUSTAVO ANDRES</v>
      </c>
      <c r="C17" s="6">
        <f>IFERROR(__xludf.DUMMYFUNCTION("""COMPUTED_VALUE"""),5.0)</f>
        <v>5</v>
      </c>
      <c r="D17" s="6"/>
      <c r="E17" s="6"/>
      <c r="F17" s="6"/>
      <c r="G17" s="6"/>
      <c r="H17" s="6"/>
      <c r="I17" s="6">
        <f>IFERROR(__xludf.DUMMYFUNCTION("""COMPUTED_VALUE"""),2.4)</f>
        <v>2.4</v>
      </c>
      <c r="J17" s="6">
        <f>IFERROR(__xludf.DUMMYFUNCTION("""COMPUTED_VALUE"""),5.0)</f>
        <v>5</v>
      </c>
      <c r="K17" s="6">
        <f>IFERROR(__xludf.DUMMYFUNCTION("""COMPUTED_VALUE"""),3.18)</f>
        <v>3.18</v>
      </c>
      <c r="L17" s="6"/>
      <c r="M17" s="6"/>
      <c r="N17" s="6"/>
      <c r="O17" s="6">
        <f>IFERROR(__xludf.DUMMYFUNCTION("""COMPUTED_VALUE"""),2260669.0)</f>
        <v>2260669</v>
      </c>
      <c r="P17" s="6"/>
      <c r="Q17" s="6"/>
      <c r="R17" s="6"/>
      <c r="S17" s="6"/>
      <c r="T17" s="6"/>
      <c r="U17" s="6"/>
      <c r="V17" s="6"/>
      <c r="W17" s="6"/>
      <c r="X17" s="6"/>
    </row>
    <row r="18">
      <c r="A18" s="6">
        <f>IFERROR(__xludf.DUMMYFUNCTION("""COMPUTED_VALUE"""),17.0)</f>
        <v>17</v>
      </c>
      <c r="B18" s="7" t="str">
        <f>IFERROR(__xludf.DUMMYFUNCTION("""COMPUTED_VALUE"""),"HIGUERA ANGARITA MARIA LUCIA")</f>
        <v>HIGUERA ANGARITA MARIA LUCIA</v>
      </c>
      <c r="C18" s="6">
        <f>IFERROR(__xludf.DUMMYFUNCTION("""COMPUTED_VALUE"""),4.1)</f>
        <v>4.1</v>
      </c>
      <c r="D18" s="6"/>
      <c r="E18" s="6"/>
      <c r="F18" s="6"/>
      <c r="G18" s="6"/>
      <c r="H18" s="6"/>
      <c r="I18" s="6">
        <f>IFERROR(__xludf.DUMMYFUNCTION("""COMPUTED_VALUE"""),5.0)</f>
        <v>5</v>
      </c>
      <c r="J18" s="6">
        <f>IFERROR(__xludf.DUMMYFUNCTION("""COMPUTED_VALUE"""),5.0)</f>
        <v>5</v>
      </c>
      <c r="K18" s="6">
        <f>IFERROR(__xludf.DUMMYFUNCTION("""COMPUTED_VALUE"""),2.38)</f>
        <v>2.38</v>
      </c>
      <c r="L18" s="6"/>
      <c r="M18" s="6"/>
      <c r="N18" s="6"/>
      <c r="O18" s="6">
        <f>IFERROR(__xludf.DUMMYFUNCTION("""COMPUTED_VALUE"""),2260674.0)</f>
        <v>2260674</v>
      </c>
      <c r="P18" s="6"/>
      <c r="Q18" s="6"/>
      <c r="R18" s="6"/>
      <c r="S18" s="6"/>
      <c r="T18" s="6"/>
      <c r="U18" s="6"/>
      <c r="V18" s="6"/>
      <c r="W18" s="6"/>
      <c r="X18" s="6"/>
    </row>
    <row r="19">
      <c r="A19" s="6">
        <f>IFERROR(__xludf.DUMMYFUNCTION("""COMPUTED_VALUE"""),18.0)</f>
        <v>18</v>
      </c>
      <c r="B19" s="7" t="str">
        <f>IFERROR(__xludf.DUMMYFUNCTION("""COMPUTED_VALUE"""),"JIMENEZ CASTELLANOS DAILANY NAYELI")</f>
        <v>JIMENEZ CASTELLANOS DAILANY NAYELI</v>
      </c>
      <c r="C19" s="6">
        <f>IFERROR(__xludf.DUMMYFUNCTION("""COMPUTED_VALUE"""),3.0)</f>
        <v>3</v>
      </c>
      <c r="D19" s="6"/>
      <c r="E19" s="6"/>
      <c r="F19" s="6"/>
      <c r="G19" s="6"/>
      <c r="H19" s="6"/>
      <c r="I19" s="6">
        <f>IFERROR(__xludf.DUMMYFUNCTION("""COMPUTED_VALUE"""),1.8)</f>
        <v>1.8</v>
      </c>
      <c r="J19" s="6">
        <f>IFERROR(__xludf.DUMMYFUNCTION("""COMPUTED_VALUE"""),5.0)</f>
        <v>5</v>
      </c>
      <c r="K19" s="6">
        <f>IFERROR(__xludf.DUMMYFUNCTION("""COMPUTED_VALUE"""),3.83)</f>
        <v>3.83</v>
      </c>
      <c r="L19" s="6"/>
      <c r="M19" s="6"/>
      <c r="N19" s="6"/>
      <c r="O19" s="6">
        <f>IFERROR(__xludf.DUMMYFUNCTION("""COMPUTED_VALUE"""),2261279.0)</f>
        <v>2261279</v>
      </c>
      <c r="P19" s="6"/>
      <c r="Q19" s="6"/>
      <c r="R19" s="6"/>
      <c r="S19" s="6"/>
      <c r="T19" s="6"/>
      <c r="U19" s="6"/>
      <c r="V19" s="6"/>
      <c r="W19" s="6"/>
      <c r="X19" s="6"/>
    </row>
    <row r="20">
      <c r="A20" s="6">
        <f>IFERROR(__xludf.DUMMYFUNCTION("""COMPUTED_VALUE"""),19.0)</f>
        <v>19</v>
      </c>
      <c r="B20" s="7" t="str">
        <f>IFERROR(__xludf.DUMMYFUNCTION("""COMPUTED_VALUE"""),"MANTILLA CHINCHILLA ALISSON")</f>
        <v>MANTILLA CHINCHILLA ALISSON</v>
      </c>
      <c r="C20" s="6">
        <f>IFERROR(__xludf.DUMMYFUNCTION("""COMPUTED_VALUE"""),4.0)</f>
        <v>4</v>
      </c>
      <c r="D20" s="6"/>
      <c r="E20" s="6"/>
      <c r="F20" s="6"/>
      <c r="G20" s="6"/>
      <c r="H20" s="6"/>
      <c r="I20" s="6">
        <f>IFERROR(__xludf.DUMMYFUNCTION("""COMPUTED_VALUE"""),4.0)</f>
        <v>4</v>
      </c>
      <c r="J20" s="6">
        <f>IFERROR(__xludf.DUMMYFUNCTION("""COMPUTED_VALUE"""),5.0)</f>
        <v>5</v>
      </c>
      <c r="K20" s="6">
        <f>IFERROR(__xludf.DUMMYFUNCTION("""COMPUTED_VALUE"""),5.0)</f>
        <v>5</v>
      </c>
      <c r="L20" s="6"/>
      <c r="M20" s="6"/>
      <c r="N20" s="6"/>
      <c r="O20" s="6">
        <f>IFERROR(__xludf.DUMMYFUNCTION("""COMPUTED_VALUE"""),2260067.0)</f>
        <v>2260067</v>
      </c>
      <c r="P20" s="6"/>
      <c r="Q20" s="6"/>
      <c r="R20" s="6"/>
      <c r="S20" s="6"/>
      <c r="T20" s="6"/>
      <c r="U20" s="6"/>
      <c r="V20" s="6"/>
      <c r="W20" s="6"/>
      <c r="X20" s="6"/>
    </row>
    <row r="21">
      <c r="A21" s="6">
        <f>IFERROR(__xludf.DUMMYFUNCTION("""COMPUTED_VALUE"""),20.0)</f>
        <v>20</v>
      </c>
      <c r="B21" s="7" t="str">
        <f>IFERROR(__xludf.DUMMYFUNCTION("""COMPUTED_VALUE"""),"MAYORIANO JIMENEZ MARIA FERNANDA")</f>
        <v>MAYORIANO JIMENEZ MARIA FERNANDA</v>
      </c>
      <c r="C21" s="6">
        <f>IFERROR(__xludf.DUMMYFUNCTION("""COMPUTED_VALUE"""),5.0)</f>
        <v>5</v>
      </c>
      <c r="D21" s="6"/>
      <c r="E21" s="6"/>
      <c r="F21" s="6"/>
      <c r="G21" s="6"/>
      <c r="H21" s="6"/>
      <c r="I21" s="6">
        <f>IFERROR(__xludf.DUMMYFUNCTION("""COMPUTED_VALUE"""),4.0)</f>
        <v>4</v>
      </c>
      <c r="J21" s="6">
        <f>IFERROR(__xludf.DUMMYFUNCTION("""COMPUTED_VALUE"""),5.0)</f>
        <v>5</v>
      </c>
      <c r="K21" s="6">
        <f>IFERROR(__xludf.DUMMYFUNCTION("""COMPUTED_VALUE"""),3.46)</f>
        <v>3.46</v>
      </c>
      <c r="L21" s="6"/>
      <c r="M21" s="6"/>
      <c r="N21" s="6"/>
      <c r="O21" s="6">
        <f>IFERROR(__xludf.DUMMYFUNCTION("""COMPUTED_VALUE"""),2260551.0)</f>
        <v>2260551</v>
      </c>
      <c r="P21" s="6"/>
      <c r="Q21" s="6"/>
      <c r="R21" s="6"/>
      <c r="S21" s="6"/>
      <c r="T21" s="6"/>
      <c r="U21" s="6"/>
      <c r="V21" s="6"/>
      <c r="W21" s="6"/>
      <c r="X21" s="6"/>
    </row>
    <row r="22">
      <c r="A22" s="6">
        <f>IFERROR(__xludf.DUMMYFUNCTION("""COMPUTED_VALUE"""),21.0)</f>
        <v>21</v>
      </c>
      <c r="B22" s="7" t="str">
        <f>IFERROR(__xludf.DUMMYFUNCTION("""COMPUTED_VALUE"""),"MEZA ZAMBRANO ESTEBAN DAVID")</f>
        <v>MEZA ZAMBRANO ESTEBAN DAVID</v>
      </c>
      <c r="C22" s="6">
        <f>IFERROR(__xludf.DUMMYFUNCTION("""COMPUTED_VALUE"""),3.1)</f>
        <v>3.1</v>
      </c>
      <c r="D22" s="6"/>
      <c r="E22" s="6"/>
      <c r="F22" s="6"/>
      <c r="G22" s="6"/>
      <c r="H22" s="6"/>
      <c r="I22" s="6">
        <f>IFERROR(__xludf.DUMMYFUNCTION("""COMPUTED_VALUE"""),1.0)</f>
        <v>1</v>
      </c>
      <c r="J22" s="6">
        <f>IFERROR(__xludf.DUMMYFUNCTION("""COMPUTED_VALUE"""),5.0)</f>
        <v>5</v>
      </c>
      <c r="K22" s="6">
        <f>IFERROR(__xludf.DUMMYFUNCTION("""COMPUTED_VALUE"""),1.92)</f>
        <v>1.92</v>
      </c>
      <c r="L22" s="6"/>
      <c r="M22" s="6"/>
      <c r="N22" s="6"/>
      <c r="O22" s="6">
        <f>IFERROR(__xludf.DUMMYFUNCTION("""COMPUTED_VALUE"""),2262174.0)</f>
        <v>2262174</v>
      </c>
      <c r="P22" s="6"/>
      <c r="Q22" s="6"/>
      <c r="R22" s="6"/>
      <c r="S22" s="6"/>
      <c r="T22" s="6"/>
      <c r="U22" s="6"/>
      <c r="V22" s="6"/>
      <c r="W22" s="6"/>
      <c r="X22" s="6"/>
    </row>
    <row r="23">
      <c r="A23" s="6">
        <f>IFERROR(__xludf.DUMMYFUNCTION("""COMPUTED_VALUE"""),22.0)</f>
        <v>22</v>
      </c>
      <c r="B23" s="7" t="str">
        <f>IFERROR(__xludf.DUMMYFUNCTION("""COMPUTED_VALUE"""),"MURILLO HERNANDEZ JUAN JOSE")</f>
        <v>MURILLO HERNANDEZ JUAN JOSE</v>
      </c>
      <c r="C23" s="6">
        <f>IFERROR(__xludf.DUMMYFUNCTION("""COMPUTED_VALUE"""),5.0)</f>
        <v>5</v>
      </c>
      <c r="D23" s="6"/>
      <c r="E23" s="6"/>
      <c r="F23" s="6"/>
      <c r="G23" s="6"/>
      <c r="H23" s="6"/>
      <c r="I23" s="6">
        <f>IFERROR(__xludf.DUMMYFUNCTION("""COMPUTED_VALUE"""),5.0)</f>
        <v>5</v>
      </c>
      <c r="J23" s="6">
        <f>IFERROR(__xludf.DUMMYFUNCTION("""COMPUTED_VALUE"""),5.0)</f>
        <v>5</v>
      </c>
      <c r="K23" s="6">
        <f>IFERROR(__xludf.DUMMYFUNCTION("""COMPUTED_VALUE"""),3.55)</f>
        <v>3.55</v>
      </c>
      <c r="L23" s="6"/>
      <c r="M23" s="6"/>
      <c r="N23" s="6"/>
      <c r="O23" s="6">
        <f>IFERROR(__xludf.DUMMYFUNCTION("""COMPUTED_VALUE"""),2260387.0)</f>
        <v>2260387</v>
      </c>
      <c r="P23" s="6"/>
      <c r="Q23" s="6"/>
      <c r="R23" s="6"/>
      <c r="S23" s="6"/>
      <c r="T23" s="6"/>
      <c r="U23" s="6"/>
      <c r="V23" s="6"/>
      <c r="W23" s="6"/>
      <c r="X23" s="6"/>
    </row>
    <row r="24">
      <c r="A24" s="6">
        <f>IFERROR(__xludf.DUMMYFUNCTION("""COMPUTED_VALUE"""),23.0)</f>
        <v>23</v>
      </c>
      <c r="B24" s="7" t="str">
        <f>IFERROR(__xludf.DUMMYFUNCTION("""COMPUTED_VALUE"""),"NIETO ARCINIEGAS NATHALIA ALEJANDRA")</f>
        <v>NIETO ARCINIEGAS NATHALIA ALEJANDRA</v>
      </c>
      <c r="C24" s="6">
        <f>IFERROR(__xludf.DUMMYFUNCTION("""COMPUTED_VALUE"""),5.0)</f>
        <v>5</v>
      </c>
      <c r="D24" s="6"/>
      <c r="E24" s="6"/>
      <c r="F24" s="6"/>
      <c r="G24" s="6"/>
      <c r="H24" s="6"/>
      <c r="I24" s="6">
        <f>IFERROR(__xludf.DUMMYFUNCTION("""COMPUTED_VALUE"""),2.6)</f>
        <v>2.6</v>
      </c>
      <c r="J24" s="6">
        <f>IFERROR(__xludf.DUMMYFUNCTION("""COMPUTED_VALUE"""),5.0)</f>
        <v>5</v>
      </c>
      <c r="K24" s="6">
        <f>IFERROR(__xludf.DUMMYFUNCTION("""COMPUTED_VALUE"""),3.79)</f>
        <v>3.79</v>
      </c>
      <c r="L24" s="6"/>
      <c r="M24" s="6"/>
      <c r="N24" s="6"/>
      <c r="O24" s="6">
        <f>IFERROR(__xludf.DUMMYFUNCTION("""COMPUTED_VALUE"""),2253167.0)</f>
        <v>2253167</v>
      </c>
      <c r="P24" s="6"/>
      <c r="Q24" s="6"/>
      <c r="R24" s="6"/>
      <c r="S24" s="6"/>
      <c r="T24" s="6"/>
      <c r="U24" s="6"/>
      <c r="V24" s="6"/>
      <c r="W24" s="6"/>
      <c r="X24" s="6"/>
    </row>
    <row r="25">
      <c r="A25" s="6">
        <f>IFERROR(__xludf.DUMMYFUNCTION("""COMPUTED_VALUE"""),24.0)</f>
        <v>24</v>
      </c>
      <c r="B25" s="7" t="str">
        <f>IFERROR(__xludf.DUMMYFUNCTION("""COMPUTED_VALUE"""),"PABON REDONDO SAMUEL ANDRES")</f>
        <v>PABON REDONDO SAMUEL ANDRES</v>
      </c>
      <c r="C25" s="6">
        <f>IFERROR(__xludf.DUMMYFUNCTION("""COMPUTED_VALUE"""),5.0)</f>
        <v>5</v>
      </c>
      <c r="D25" s="6"/>
      <c r="E25" s="6"/>
      <c r="F25" s="6"/>
      <c r="G25" s="6"/>
      <c r="H25" s="6"/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IFERROR(__xludf.DUMMYFUNCTION("""COMPUTED_VALUE"""),4.16)</f>
        <v>4.16</v>
      </c>
      <c r="L25" s="6"/>
      <c r="M25" s="6"/>
      <c r="N25" s="6"/>
      <c r="O25" s="6">
        <f>IFERROR(__xludf.DUMMYFUNCTION("""COMPUTED_VALUE"""),2260339.0)</f>
        <v>2260339</v>
      </c>
      <c r="P25" s="6"/>
      <c r="Q25" s="6"/>
      <c r="R25" s="6"/>
      <c r="S25" s="6"/>
      <c r="T25" s="6"/>
      <c r="U25" s="6"/>
      <c r="V25" s="6"/>
      <c r="W25" s="6"/>
      <c r="X25" s="6"/>
    </row>
    <row r="26">
      <c r="A26" s="6">
        <f>IFERROR(__xludf.DUMMYFUNCTION("""COMPUTED_VALUE"""),25.0)</f>
        <v>25</v>
      </c>
      <c r="B26" s="7" t="str">
        <f>IFERROR(__xludf.DUMMYFUNCTION("""COMPUTED_VALUE"""),"PEREZ FERREIRA JOSE RAMON")</f>
        <v>PEREZ FERREIRA JOSE RAMON</v>
      </c>
      <c r="C26" s="6">
        <f>IFERROR(__xludf.DUMMYFUNCTION("""COMPUTED_VALUE"""),5.0)</f>
        <v>5</v>
      </c>
      <c r="D26" s="6"/>
      <c r="E26" s="6"/>
      <c r="F26" s="6"/>
      <c r="G26" s="6"/>
      <c r="H26" s="6"/>
      <c r="I26" s="6">
        <f>IFERROR(__xludf.DUMMYFUNCTION("""COMPUTED_VALUE"""),2.5)</f>
        <v>2.5</v>
      </c>
      <c r="J26" s="6">
        <f>IFERROR(__xludf.DUMMYFUNCTION("""COMPUTED_VALUE"""),5.0)</f>
        <v>5</v>
      </c>
      <c r="K26" s="6">
        <f>IFERROR(__xludf.DUMMYFUNCTION("""COMPUTED_VALUE"""),4.86)</f>
        <v>4.86</v>
      </c>
      <c r="L26" s="6"/>
      <c r="M26" s="6"/>
      <c r="N26" s="6"/>
      <c r="O26" s="6">
        <f>IFERROR(__xludf.DUMMYFUNCTION("""COMPUTED_VALUE"""),2260577.0)</f>
        <v>2260577</v>
      </c>
      <c r="P26" s="6"/>
      <c r="Q26" s="6"/>
      <c r="R26" s="6"/>
      <c r="S26" s="6"/>
      <c r="T26" s="6"/>
      <c r="U26" s="6"/>
      <c r="V26" s="6"/>
      <c r="W26" s="6"/>
      <c r="X26" s="6"/>
    </row>
    <row r="27">
      <c r="A27" s="6">
        <f>IFERROR(__xludf.DUMMYFUNCTION("""COMPUTED_VALUE"""),26.0)</f>
        <v>26</v>
      </c>
      <c r="B27" s="7" t="str">
        <f>IFERROR(__xludf.DUMMYFUNCTION("""COMPUTED_VALUE"""),"PICO TORO JHULIANA PATRICIA")</f>
        <v>PICO TORO JHULIANA PATRICIA</v>
      </c>
      <c r="C27" s="6">
        <f>IFERROR(__xludf.DUMMYFUNCTION("""COMPUTED_VALUE"""),5.0)</f>
        <v>5</v>
      </c>
      <c r="D27" s="6"/>
      <c r="E27" s="6"/>
      <c r="F27" s="6"/>
      <c r="G27" s="6"/>
      <c r="H27" s="6"/>
      <c r="I27" s="6">
        <f>IFERROR(__xludf.DUMMYFUNCTION("""COMPUTED_VALUE"""),2.0)</f>
        <v>2</v>
      </c>
      <c r="J27" s="6">
        <f>IFERROR(__xludf.DUMMYFUNCTION("""COMPUTED_VALUE"""),5.0)</f>
        <v>5</v>
      </c>
      <c r="K27" s="6">
        <f>IFERROR(__xludf.DUMMYFUNCTION("""COMPUTED_VALUE"""),2.85)</f>
        <v>2.85</v>
      </c>
      <c r="L27" s="6"/>
      <c r="M27" s="6"/>
      <c r="N27" s="6"/>
      <c r="O27" s="6">
        <f>IFERROR(__xludf.DUMMYFUNCTION("""COMPUTED_VALUE"""),2260581.0)</f>
        <v>2260581</v>
      </c>
      <c r="P27" s="6"/>
      <c r="Q27" s="6"/>
      <c r="R27" s="6"/>
      <c r="S27" s="6"/>
      <c r="T27" s="6"/>
      <c r="U27" s="6"/>
      <c r="V27" s="6"/>
      <c r="W27" s="6"/>
      <c r="X27" s="6"/>
    </row>
    <row r="28">
      <c r="A28" s="6">
        <f>IFERROR(__xludf.DUMMYFUNCTION("""COMPUTED_VALUE"""),27.0)</f>
        <v>27</v>
      </c>
      <c r="B28" s="7" t="str">
        <f>IFERROR(__xludf.DUMMYFUNCTION("""COMPUTED_VALUE"""),"REYES BALDOVINO MIGUEL ANTONIO")</f>
        <v>REYES BALDOVINO MIGUEL ANTONIO</v>
      </c>
      <c r="C28" s="6">
        <f>IFERROR(__xludf.DUMMYFUNCTION("""COMPUTED_VALUE"""),5.0)</f>
        <v>5</v>
      </c>
      <c r="D28" s="6"/>
      <c r="E28" s="6"/>
      <c r="F28" s="6"/>
      <c r="G28" s="6"/>
      <c r="H28" s="6"/>
      <c r="I28" s="6">
        <f>IFERROR(__xludf.DUMMYFUNCTION("""COMPUTED_VALUE"""),1.0)</f>
        <v>1</v>
      </c>
      <c r="J28" s="6">
        <f>IFERROR(__xludf.DUMMYFUNCTION("""COMPUTED_VALUE"""),5.0)</f>
        <v>5</v>
      </c>
      <c r="K28" s="6">
        <f>IFERROR(__xludf.DUMMYFUNCTION("""COMPUTED_VALUE"""),4.86)</f>
        <v>4.86</v>
      </c>
      <c r="L28" s="6"/>
      <c r="M28" s="6"/>
      <c r="N28" s="6"/>
      <c r="O28" s="6">
        <f>IFERROR(__xludf.DUMMYFUNCTION("""COMPUTED_VALUE"""),2260191.0)</f>
        <v>2260191</v>
      </c>
      <c r="P28" s="6"/>
      <c r="Q28" s="6"/>
      <c r="R28" s="6"/>
      <c r="S28" s="6"/>
      <c r="T28" s="6"/>
      <c r="U28" s="6"/>
      <c r="V28" s="6"/>
      <c r="W28" s="6"/>
      <c r="X28" s="6"/>
    </row>
    <row r="29">
      <c r="A29" s="6">
        <f>IFERROR(__xludf.DUMMYFUNCTION("""COMPUTED_VALUE"""),28.0)</f>
        <v>28</v>
      </c>
      <c r="B29" s="7" t="str">
        <f>IFERROR(__xludf.DUMMYFUNCTION("""COMPUTED_VALUE"""),"RIAÑO BERMUDEZ THOMAS DAVID")</f>
        <v>RIAÑO BERMUDEZ THOMAS DAVID</v>
      </c>
      <c r="C29" s="6">
        <f>IFERROR(__xludf.DUMMYFUNCTION("""COMPUTED_VALUE"""),4.6)</f>
        <v>4.6</v>
      </c>
      <c r="D29" s="6"/>
      <c r="E29" s="6"/>
      <c r="F29" s="6"/>
      <c r="G29" s="6"/>
      <c r="H29" s="6"/>
      <c r="I29" s="6">
        <f>IFERROR(__xludf.DUMMYFUNCTION("""COMPUTED_VALUE"""),2.0)</f>
        <v>2</v>
      </c>
      <c r="J29" s="6">
        <f>IFERROR(__xludf.DUMMYFUNCTION("""COMPUTED_VALUE"""),5.0)</f>
        <v>5</v>
      </c>
      <c r="K29" s="6">
        <f>IFERROR(__xludf.DUMMYFUNCTION("""COMPUTED_VALUE"""),0.98)</f>
        <v>0.98</v>
      </c>
      <c r="L29" s="6"/>
      <c r="M29" s="6"/>
      <c r="N29" s="6"/>
      <c r="O29" s="6">
        <f>IFERROR(__xludf.DUMMYFUNCTION("""COMPUTED_VALUE"""),2252358.0)</f>
        <v>2252358</v>
      </c>
      <c r="P29" s="6"/>
      <c r="Q29" s="6"/>
      <c r="R29" s="6"/>
      <c r="S29" s="6"/>
      <c r="T29" s="6"/>
      <c r="U29" s="6"/>
      <c r="V29" s="6"/>
      <c r="W29" s="6"/>
      <c r="X29" s="6"/>
    </row>
    <row r="30">
      <c r="A30" s="7">
        <f>IFERROR(__xludf.DUMMYFUNCTION("""COMPUTED_VALUE"""),29.0)</f>
        <v>29</v>
      </c>
      <c r="B30" s="7" t="str">
        <f>IFERROR(__xludf.DUMMYFUNCTION("""COMPUTED_VALUE"""),"RUEDA PEREZ JUAN ESTEBAN")</f>
        <v>RUEDA PEREZ JUAN ESTEBAN</v>
      </c>
      <c r="C30" s="7">
        <f>IFERROR(__xludf.DUMMYFUNCTION("""COMPUTED_VALUE"""),5.0)</f>
        <v>5</v>
      </c>
      <c r="D30" s="7"/>
      <c r="E30" s="7"/>
      <c r="F30" s="7"/>
      <c r="G30" s="7"/>
      <c r="H30" s="7"/>
      <c r="I30" s="7">
        <f>IFERROR(__xludf.DUMMYFUNCTION("""COMPUTED_VALUE"""),4.0)</f>
        <v>4</v>
      </c>
      <c r="J30" s="7">
        <f>IFERROR(__xludf.DUMMYFUNCTION("""COMPUTED_VALUE"""),5.0)</f>
        <v>5</v>
      </c>
      <c r="K30" s="7">
        <f>IFERROR(__xludf.DUMMYFUNCTION("""COMPUTED_VALUE"""),4.21)</f>
        <v>4.21</v>
      </c>
      <c r="L30" s="7"/>
      <c r="M30" s="7"/>
      <c r="N30" s="7"/>
      <c r="O30" s="7">
        <f>IFERROR(__xludf.DUMMYFUNCTION("""COMPUTED_VALUE"""),2260351.0)</f>
        <v>2260351</v>
      </c>
    </row>
    <row r="31">
      <c r="A31" s="7">
        <f>IFERROR(__xludf.DUMMYFUNCTION("""COMPUTED_VALUE"""),30.0)</f>
        <v>30</v>
      </c>
      <c r="B31" s="7" t="str">
        <f>IFERROR(__xludf.DUMMYFUNCTION("""COMPUTED_VALUE"""),"SANCHEZ BARAJAS SARAH JULIANA")</f>
        <v>SANCHEZ BARAJAS SARAH JULIANA</v>
      </c>
      <c r="C31" s="7">
        <f>IFERROR(__xludf.DUMMYFUNCTION("""COMPUTED_VALUE"""),5.0)</f>
        <v>5</v>
      </c>
      <c r="D31" s="7"/>
      <c r="E31" s="7"/>
      <c r="F31" s="7"/>
      <c r="G31" s="7"/>
      <c r="H31" s="7"/>
      <c r="I31" s="7">
        <f>IFERROR(__xludf.DUMMYFUNCTION("""COMPUTED_VALUE"""),3.8)</f>
        <v>3.8</v>
      </c>
      <c r="J31" s="7">
        <f>IFERROR(__xludf.DUMMYFUNCTION("""COMPUTED_VALUE"""),5.0)</f>
        <v>5</v>
      </c>
      <c r="K31" s="7">
        <f>IFERROR(__xludf.DUMMYFUNCTION("""COMPUTED_VALUE"""),3.93)</f>
        <v>3.93</v>
      </c>
      <c r="L31" s="7"/>
      <c r="M31" s="7"/>
      <c r="N31" s="7"/>
      <c r="O31" s="7">
        <f>IFERROR(__xludf.DUMMYFUNCTION("""COMPUTED_VALUE"""),2252439.0)</f>
        <v>2252439</v>
      </c>
    </row>
    <row r="32">
      <c r="A32" s="7">
        <f>IFERROR(__xludf.DUMMYFUNCTION("""COMPUTED_VALUE"""),31.0)</f>
        <v>31</v>
      </c>
      <c r="B32" s="7" t="str">
        <f>IFERROR(__xludf.DUMMYFUNCTION("""COMPUTED_VALUE"""),"SANCHEZ GARCIA JORGE")</f>
        <v>SANCHEZ GARCIA JORGE</v>
      </c>
      <c r="C32" s="7">
        <f>IFERROR(__xludf.DUMMYFUNCTION("""COMPUTED_VALUE"""),1.8)</f>
        <v>1.8</v>
      </c>
      <c r="D32" s="7"/>
      <c r="E32" s="7"/>
      <c r="F32" s="7"/>
      <c r="G32" s="7"/>
      <c r="H32" s="7"/>
      <c r="I32" s="7">
        <f>IFERROR(__xludf.DUMMYFUNCTION("""COMPUTED_VALUE"""),2.4)</f>
        <v>2.4</v>
      </c>
      <c r="J32" s="7">
        <f>IFERROR(__xludf.DUMMYFUNCTION("""COMPUTED_VALUE"""),5.0)</f>
        <v>5</v>
      </c>
      <c r="K32" s="7">
        <f>IFERROR(__xludf.DUMMYFUNCTION("""COMPUTED_VALUE"""),5.0)</f>
        <v>5</v>
      </c>
      <c r="L32" s="7"/>
      <c r="M32" s="7"/>
      <c r="N32" s="7"/>
      <c r="O32" s="7">
        <f>IFERROR(__xludf.DUMMYFUNCTION("""COMPUTED_VALUE"""),2262147.0)</f>
        <v>2262147</v>
      </c>
    </row>
    <row r="33">
      <c r="A33" s="7">
        <f>IFERROR(__xludf.DUMMYFUNCTION("""COMPUTED_VALUE"""),32.0)</f>
        <v>32</v>
      </c>
      <c r="B33" s="7" t="str">
        <f>IFERROR(__xludf.DUMMYFUNCTION("""COMPUTED_VALUE"""),"SANCHEZ MUÑOZ SEBASTIAN")</f>
        <v>SANCHEZ MUÑOZ SEBASTIAN</v>
      </c>
      <c r="C33" s="7">
        <f>IFERROR(__xludf.DUMMYFUNCTION("""COMPUTED_VALUE"""),2.0)</f>
        <v>2</v>
      </c>
      <c r="D33" s="7"/>
      <c r="E33" s="7"/>
      <c r="F33" s="7"/>
      <c r="G33" s="7"/>
      <c r="H33" s="7"/>
      <c r="I33" s="7">
        <f>IFERROR(__xludf.DUMMYFUNCTION("""COMPUTED_VALUE"""),2.8)</f>
        <v>2.8</v>
      </c>
      <c r="J33" s="7">
        <f>IFERROR(__xludf.DUMMYFUNCTION("""COMPUTED_VALUE"""),5.0)</f>
        <v>5</v>
      </c>
      <c r="K33" s="7">
        <f>IFERROR(__xludf.DUMMYFUNCTION("""COMPUTED_VALUE"""),4.63)</f>
        <v>4.63</v>
      </c>
      <c r="L33" s="7"/>
      <c r="M33" s="7"/>
      <c r="N33" s="7"/>
      <c r="O33" s="7">
        <f>IFERROR(__xludf.DUMMYFUNCTION("""COMPUTED_VALUE"""),2261840.0)</f>
        <v>2261840</v>
      </c>
    </row>
    <row r="34">
      <c r="A34" s="7">
        <f>IFERROR(__xludf.DUMMYFUNCTION("""COMPUTED_VALUE"""),33.0)</f>
        <v>33</v>
      </c>
      <c r="B34" s="7" t="str">
        <f>IFERROR(__xludf.DUMMYFUNCTION("""COMPUTED_VALUE"""),"TORRES VILLAMIZAR CRISTIAN LEONARDO")</f>
        <v>TORRES VILLAMIZAR CRISTIAN LEONARDO</v>
      </c>
      <c r="C34" s="7">
        <f>IFERROR(__xludf.DUMMYFUNCTION("""COMPUTED_VALUE"""),3.4)</f>
        <v>3.4</v>
      </c>
      <c r="D34" s="7"/>
      <c r="E34" s="7"/>
      <c r="F34" s="7"/>
      <c r="G34" s="7"/>
      <c r="H34" s="7"/>
      <c r="I34" s="7">
        <f>IFERROR(__xludf.DUMMYFUNCTION("""COMPUTED_VALUE"""),1.6)</f>
        <v>1.6</v>
      </c>
      <c r="J34" s="7">
        <f>IFERROR(__xludf.DUMMYFUNCTION("""COMPUTED_VALUE"""),5.0)</f>
        <v>5</v>
      </c>
      <c r="K34" s="7">
        <f>IFERROR(__xludf.DUMMYFUNCTION("""COMPUTED_VALUE"""),2.52)</f>
        <v>2.52</v>
      </c>
      <c r="L34" s="7"/>
      <c r="M34" s="7"/>
      <c r="N34" s="7"/>
      <c r="O34" s="7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3" t="str">
        <f>IFERROR(__xludf.DUMMYFUNCTION("""COMPUTED_VALUE"""),"TUTOR")</f>
        <v>TUTOR</v>
      </c>
      <c r="I1" s="4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/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6"/>
    </row>
    <row r="2">
      <c r="A2" s="6">
        <f>IFERROR(__xludf.DUMMYFUNCTION("""COMPUTED_VALUE"""),1.0)</f>
        <v>1</v>
      </c>
      <c r="B2" s="7" t="str">
        <f>IFERROR(__xludf.DUMMYFUNCTION("""COMPUTED_VALUE"""),"ALARCON TORRES RUTH ALEJANDRA")</f>
        <v>ALARCON TORRES RUTH ALEJANDRA</v>
      </c>
      <c r="C2" s="6">
        <f>IFERROR(__xludf.DUMMYFUNCTION("""COMPUTED_VALUE"""),3.2)</f>
        <v>3.2</v>
      </c>
      <c r="D2" s="6"/>
      <c r="E2" s="6"/>
      <c r="F2" s="6"/>
      <c r="G2" s="6"/>
      <c r="H2" s="6"/>
      <c r="I2" s="6">
        <f>IFERROR(__xludf.DUMMYFUNCTION("""COMPUTED_VALUE"""),5.0)</f>
        <v>5</v>
      </c>
      <c r="J2" s="6">
        <f>IFERROR(__xludf.DUMMYFUNCTION("""COMPUTED_VALUE"""),3.4)</f>
        <v>3.4</v>
      </c>
      <c r="K2" s="6">
        <f>IFERROR(__xludf.DUMMYFUNCTION("""COMPUTED_VALUE"""),5.0)</f>
        <v>5</v>
      </c>
      <c r="L2" s="6"/>
      <c r="M2" s="6"/>
      <c r="N2" s="6"/>
      <c r="O2" s="6">
        <f>IFERROR(__xludf.DUMMYFUNCTION("""COMPUTED_VALUE"""),2262798.0)</f>
        <v>2262798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>
        <f>IFERROR(__xludf.DUMMYFUNCTION("""COMPUTED_VALUE"""),2.0)</f>
        <v>2</v>
      </c>
      <c r="B3" s="7" t="str">
        <f>IFERROR(__xludf.DUMMYFUNCTION("""COMPUTED_VALUE"""),"ARIZA SANDOVAL MABEL SARELYT")</f>
        <v>ARIZA SANDOVAL MABEL SARELYT</v>
      </c>
      <c r="C3" s="6">
        <f>IFERROR(__xludf.DUMMYFUNCTION("""COMPUTED_VALUE"""),5.0)</f>
        <v>5</v>
      </c>
      <c r="D3" s="6"/>
      <c r="E3" s="6"/>
      <c r="F3" s="6"/>
      <c r="G3" s="6"/>
      <c r="H3" s="6"/>
      <c r="I3" s="6">
        <f>IFERROR(__xludf.DUMMYFUNCTION("""COMPUTED_VALUE"""),3.4)</f>
        <v>3.4</v>
      </c>
      <c r="J3" s="6">
        <f>IFERROR(__xludf.DUMMYFUNCTION("""COMPUTED_VALUE"""),3.6)</f>
        <v>3.6</v>
      </c>
      <c r="K3" s="6">
        <f>IFERROR(__xludf.DUMMYFUNCTION("""COMPUTED_VALUE"""),5.0)</f>
        <v>5</v>
      </c>
      <c r="L3" s="6"/>
      <c r="M3" s="6"/>
      <c r="N3" s="6"/>
      <c r="O3" s="6">
        <f>IFERROR(__xludf.DUMMYFUNCTION("""COMPUTED_VALUE"""),2261614.0)</f>
        <v>2261614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>
        <f>IFERROR(__xludf.DUMMYFUNCTION("""COMPUTED_VALUE"""),3.0)</f>
        <v>3</v>
      </c>
      <c r="B4" s="7" t="str">
        <f>IFERROR(__xludf.DUMMYFUNCTION("""COMPUTED_VALUE"""),"DE LA CRUZ CABANZO MATIAS")</f>
        <v>DE LA CRUZ CABANZO MATIAS</v>
      </c>
      <c r="C4" s="6">
        <f>IFERROR(__xludf.DUMMYFUNCTION("""COMPUTED_VALUE"""),5.0)</f>
        <v>5</v>
      </c>
      <c r="D4" s="6"/>
      <c r="E4" s="6"/>
      <c r="F4" s="6"/>
      <c r="G4" s="6"/>
      <c r="H4" s="6"/>
      <c r="I4" s="6">
        <f>IFERROR(__xludf.DUMMYFUNCTION("""COMPUTED_VALUE"""),3.8)</f>
        <v>3.8</v>
      </c>
      <c r="J4" s="6">
        <f>IFERROR(__xludf.DUMMYFUNCTION("""COMPUTED_VALUE"""),5.0)</f>
        <v>5</v>
      </c>
      <c r="K4" s="6">
        <f>IFERROR(__xludf.DUMMYFUNCTION("""COMPUTED_VALUE"""),5.0)</f>
        <v>5</v>
      </c>
      <c r="L4" s="6"/>
      <c r="M4" s="6"/>
      <c r="N4" s="6"/>
      <c r="O4" s="6">
        <f>IFERROR(__xludf.DUMMYFUNCTION("""COMPUTED_VALUE"""),2263262.0)</f>
        <v>2263262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>
        <f>IFERROR(__xludf.DUMMYFUNCTION("""COMPUTED_VALUE"""),4.0)</f>
        <v>4</v>
      </c>
      <c r="B5" s="7" t="str">
        <f>IFERROR(__xludf.DUMMYFUNCTION("""COMPUTED_VALUE"""),"DELGADO RAMIREZ JULIAN MATEO")</f>
        <v>DELGADO RAMIREZ JULIAN MATEO</v>
      </c>
      <c r="C5" s="6">
        <f>IFERROR(__xludf.DUMMYFUNCTION("""COMPUTED_VALUE"""),4.7)</f>
        <v>4.7</v>
      </c>
      <c r="D5" s="6"/>
      <c r="E5" s="6"/>
      <c r="F5" s="6"/>
      <c r="G5" s="6"/>
      <c r="H5" s="6"/>
      <c r="I5" s="6">
        <f>IFERROR(__xludf.DUMMYFUNCTION("""COMPUTED_VALUE"""),5.0)</f>
        <v>5</v>
      </c>
      <c r="J5" s="6">
        <f>IFERROR(__xludf.DUMMYFUNCTION("""COMPUTED_VALUE"""),3.8)</f>
        <v>3.8</v>
      </c>
      <c r="K5" s="6">
        <f>IFERROR(__xludf.DUMMYFUNCTION("""COMPUTED_VALUE"""),5.0)</f>
        <v>5</v>
      </c>
      <c r="L5" s="6"/>
      <c r="M5" s="6"/>
      <c r="N5" s="6"/>
      <c r="O5" s="6">
        <f>IFERROR(__xludf.DUMMYFUNCTION("""COMPUTED_VALUE"""),2262846.0)</f>
        <v>2262846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>
        <f>IFERROR(__xludf.DUMMYFUNCTION("""COMPUTED_VALUE"""),5.0)</f>
        <v>5</v>
      </c>
      <c r="B6" s="7" t="str">
        <f>IFERROR(__xludf.DUMMYFUNCTION("""COMPUTED_VALUE"""),"DUARTE VALENCIA JOEL ESTEBAN")</f>
        <v>DUARTE VALENCIA JOEL ESTEBAN</v>
      </c>
      <c r="C6" s="6">
        <f>IFERROR(__xludf.DUMMYFUNCTION("""COMPUTED_VALUE"""),5.0)</f>
        <v>5</v>
      </c>
      <c r="D6" s="6"/>
      <c r="E6" s="6"/>
      <c r="F6" s="6"/>
      <c r="G6" s="6"/>
      <c r="H6" s="6"/>
      <c r="I6" s="6">
        <f>IFERROR(__xludf.DUMMYFUNCTION("""COMPUTED_VALUE"""),3.4)</f>
        <v>3.4</v>
      </c>
      <c r="J6" s="6">
        <f>IFERROR(__xludf.DUMMYFUNCTION("""COMPUTED_VALUE"""),3.5)</f>
        <v>3.5</v>
      </c>
      <c r="K6" s="6">
        <f>IFERROR(__xludf.DUMMYFUNCTION("""COMPUTED_VALUE"""),5.0)</f>
        <v>5</v>
      </c>
      <c r="L6" s="6"/>
      <c r="M6" s="6"/>
      <c r="N6" s="6"/>
      <c r="O6" s="6">
        <f>IFERROR(__xludf.DUMMYFUNCTION("""COMPUTED_VALUE"""),2253791.0)</f>
        <v>2253791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>
        <f>IFERROR(__xludf.DUMMYFUNCTION("""COMPUTED_VALUE"""),6.0)</f>
        <v>6</v>
      </c>
      <c r="B7" s="7" t="str">
        <f>IFERROR(__xludf.DUMMYFUNCTION("""COMPUTED_VALUE"""),"DURAN MEJIA MAICOL DANIEL")</f>
        <v>DURAN MEJIA MAICOL DANIEL</v>
      </c>
      <c r="C7" s="6">
        <f>IFERROR(__xludf.DUMMYFUNCTION("""COMPUTED_VALUE"""),5.0)</f>
        <v>5</v>
      </c>
      <c r="D7" s="6"/>
      <c r="E7" s="6"/>
      <c r="F7" s="6"/>
      <c r="G7" s="6"/>
      <c r="H7" s="6"/>
      <c r="I7" s="6">
        <f>IFERROR(__xludf.DUMMYFUNCTION("""COMPUTED_VALUE"""),3.8)</f>
        <v>3.8</v>
      </c>
      <c r="J7" s="6">
        <f>IFERROR(__xludf.DUMMYFUNCTION("""COMPUTED_VALUE"""),3.8)</f>
        <v>3.8</v>
      </c>
      <c r="K7" s="6">
        <f>IFERROR(__xludf.DUMMYFUNCTION("""COMPUTED_VALUE"""),5.0)</f>
        <v>5</v>
      </c>
      <c r="L7" s="6"/>
      <c r="M7" s="6"/>
      <c r="N7" s="6"/>
      <c r="O7" s="6">
        <f>IFERROR(__xludf.DUMMYFUNCTION("""COMPUTED_VALUE"""),2262988.0)</f>
        <v>2262988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>
        <f>IFERROR(__xludf.DUMMYFUNCTION("""COMPUTED_VALUE"""),7.0)</f>
        <v>7</v>
      </c>
      <c r="B8" s="7" t="str">
        <f>IFERROR(__xludf.DUMMYFUNCTION("""COMPUTED_VALUE"""),"FORERO GUZMAN DAVID SANTIAGO")</f>
        <v>FORERO GUZMAN DAVID SANTIAGO</v>
      </c>
      <c r="C8" s="6">
        <f>IFERROR(__xludf.DUMMYFUNCTION("""COMPUTED_VALUE"""),0.0)</f>
        <v>0</v>
      </c>
      <c r="D8" s="6"/>
      <c r="E8" s="6"/>
      <c r="F8" s="6"/>
      <c r="G8" s="6"/>
      <c r="H8" s="6"/>
      <c r="I8" s="6">
        <f>IFERROR(__xludf.DUMMYFUNCTION("""COMPUTED_VALUE"""),0.0)</f>
        <v>0</v>
      </c>
      <c r="J8" s="6">
        <f>IFERROR(__xludf.DUMMYFUNCTION("""COMPUTED_VALUE"""),0.0)</f>
        <v>0</v>
      </c>
      <c r="K8" s="6">
        <f>IFERROR(__xludf.DUMMYFUNCTION("""COMPUTED_VALUE"""),0.0)</f>
        <v>0</v>
      </c>
      <c r="L8" s="6"/>
      <c r="M8" s="6"/>
      <c r="N8" s="6"/>
      <c r="O8" s="6">
        <f>IFERROR(__xludf.DUMMYFUNCTION("""COMPUTED_VALUE"""),2263059.0)</f>
        <v>2263059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>
        <f>IFERROR(__xludf.DUMMYFUNCTION("""COMPUTED_VALUE"""),8.0)</f>
        <v>8</v>
      </c>
      <c r="B9" s="7" t="str">
        <f>IFERROR(__xludf.DUMMYFUNCTION("""COMPUTED_VALUE"""),"GARCIA ARIZA NICOLAS MATIAS")</f>
        <v>GARCIA ARIZA NICOLAS MATIAS</v>
      </c>
      <c r="C9" s="6">
        <f>IFERROR(__xludf.DUMMYFUNCTION("""COMPUTED_VALUE"""),5.0)</f>
        <v>5</v>
      </c>
      <c r="D9" s="6"/>
      <c r="E9" s="6"/>
      <c r="F9" s="6"/>
      <c r="G9" s="6"/>
      <c r="H9" s="6"/>
      <c r="I9" s="6">
        <f>IFERROR(__xludf.DUMMYFUNCTION("""COMPUTED_VALUE"""),2.5)</f>
        <v>2.5</v>
      </c>
      <c r="J9" s="6">
        <f>IFERROR(__xludf.DUMMYFUNCTION("""COMPUTED_VALUE"""),3.0)</f>
        <v>3</v>
      </c>
      <c r="K9" s="6">
        <f>IFERROR(__xludf.DUMMYFUNCTION("""COMPUTED_VALUE"""),5.0)</f>
        <v>5</v>
      </c>
      <c r="L9" s="6"/>
      <c r="M9" s="6"/>
      <c r="N9" s="6"/>
      <c r="O9" s="6">
        <f>IFERROR(__xludf.DUMMYFUNCTION("""COMPUTED_VALUE"""),2262852.0)</f>
        <v>2262852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>
        <f>IFERROR(__xludf.DUMMYFUNCTION("""COMPUTED_VALUE"""),9.0)</f>
        <v>9</v>
      </c>
      <c r="B10" s="7" t="str">
        <f>IFERROR(__xludf.DUMMYFUNCTION("""COMPUTED_VALUE"""),"GARCIA BARRERA LEONARD DAVID")</f>
        <v>GARCIA BARRERA LEONARD DAVID</v>
      </c>
      <c r="C10" s="6">
        <f>IFERROR(__xludf.DUMMYFUNCTION("""COMPUTED_VALUE"""),4.4)</f>
        <v>4.4</v>
      </c>
      <c r="D10" s="6"/>
      <c r="E10" s="6"/>
      <c r="F10" s="6"/>
      <c r="G10" s="6"/>
      <c r="H10" s="6"/>
      <c r="I10" s="6">
        <f>IFERROR(__xludf.DUMMYFUNCTION("""COMPUTED_VALUE"""),5.0)</f>
        <v>5</v>
      </c>
      <c r="J10" s="6">
        <f>IFERROR(__xludf.DUMMYFUNCTION("""COMPUTED_VALUE"""),3.8)</f>
        <v>3.8</v>
      </c>
      <c r="K10" s="6">
        <f>IFERROR(__xludf.DUMMYFUNCTION("""COMPUTED_VALUE"""),0.0)</f>
        <v>0</v>
      </c>
      <c r="L10" s="6"/>
      <c r="M10" s="6"/>
      <c r="N10" s="6"/>
      <c r="O10" s="6">
        <f>IFERROR(__xludf.DUMMYFUNCTION("""COMPUTED_VALUE"""),2263024.0)</f>
        <v>2263024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>
        <f>IFERROR(__xludf.DUMMYFUNCTION("""COMPUTED_VALUE"""),10.0)</f>
        <v>10</v>
      </c>
      <c r="B11" s="7" t="str">
        <f>IFERROR(__xludf.DUMMYFUNCTION("""COMPUTED_VALUE"""),"GOMEZ JACOME CRISTHIAN JAVIER")</f>
        <v>GOMEZ JACOME CRISTHIAN JAVIER</v>
      </c>
      <c r="C11" s="6">
        <f>IFERROR(__xludf.DUMMYFUNCTION("""COMPUTED_VALUE"""),3.7)</f>
        <v>3.7</v>
      </c>
      <c r="D11" s="6"/>
      <c r="E11" s="6"/>
      <c r="F11" s="6"/>
      <c r="G11" s="6"/>
      <c r="H11" s="6"/>
      <c r="I11" s="6">
        <f>IFERROR(__xludf.DUMMYFUNCTION("""COMPUTED_VALUE"""),3.5)</f>
        <v>3.5</v>
      </c>
      <c r="J11" s="6">
        <f>IFERROR(__xludf.DUMMYFUNCTION("""COMPUTED_VALUE"""),5.0)</f>
        <v>5</v>
      </c>
      <c r="K11" s="6">
        <f>IFERROR(__xludf.DUMMYFUNCTION("""COMPUTED_VALUE"""),5.0)</f>
        <v>5</v>
      </c>
      <c r="L11" s="6"/>
      <c r="M11" s="6"/>
      <c r="N11" s="6"/>
      <c r="O11" s="6">
        <f>IFERROR(__xludf.DUMMYFUNCTION("""COMPUTED_VALUE"""),2262408.0)</f>
        <v>2262408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>
        <f>IFERROR(__xludf.DUMMYFUNCTION("""COMPUTED_VALUE"""),11.0)</f>
        <v>11</v>
      </c>
      <c r="B12" s="7" t="str">
        <f>IFERROR(__xludf.DUMMYFUNCTION("""COMPUTED_VALUE"""),"GRANADOS GOMEZ BRAYAN SNEIDER")</f>
        <v>GRANADOS GOMEZ BRAYAN SNEIDER</v>
      </c>
      <c r="C12" s="6">
        <f>IFERROR(__xludf.DUMMYFUNCTION("""COMPUTED_VALUE"""),3.6)</f>
        <v>3.6</v>
      </c>
      <c r="D12" s="6"/>
      <c r="E12" s="6"/>
      <c r="F12" s="6"/>
      <c r="G12" s="6"/>
      <c r="H12" s="6"/>
      <c r="I12" s="6">
        <f>IFERROR(__xludf.DUMMYFUNCTION("""COMPUTED_VALUE"""),3.0)</f>
        <v>3</v>
      </c>
      <c r="J12" s="6">
        <f>IFERROR(__xludf.DUMMYFUNCTION("""COMPUTED_VALUE"""),2.0)</f>
        <v>2</v>
      </c>
      <c r="K12" s="6">
        <f>IFERROR(__xludf.DUMMYFUNCTION("""COMPUTED_VALUE"""),5.0)</f>
        <v>5</v>
      </c>
      <c r="L12" s="6"/>
      <c r="M12" s="6"/>
      <c r="N12" s="6"/>
      <c r="O12" s="6">
        <f>IFERROR(__xludf.DUMMYFUNCTION("""COMPUTED_VALUE"""),2262903.0)</f>
        <v>2262903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>
        <f>IFERROR(__xludf.DUMMYFUNCTION("""COMPUTED_VALUE"""),12.0)</f>
        <v>12</v>
      </c>
      <c r="B13" s="7" t="str">
        <f>IFERROR(__xludf.DUMMYFUNCTION("""COMPUTED_VALUE"""),"LUNA RODRIGUEZ OSCAR JULIAN")</f>
        <v>LUNA RODRIGUEZ OSCAR JULIAN</v>
      </c>
      <c r="C13" s="6">
        <f>IFERROR(__xludf.DUMMYFUNCTION("""COMPUTED_VALUE"""),4.8)</f>
        <v>4.8</v>
      </c>
      <c r="D13" s="6"/>
      <c r="E13" s="6"/>
      <c r="F13" s="6"/>
      <c r="G13" s="6"/>
      <c r="H13" s="6"/>
      <c r="I13" s="6">
        <f>IFERROR(__xludf.DUMMYFUNCTION("""COMPUTED_VALUE"""),2.0)</f>
        <v>2</v>
      </c>
      <c r="J13" s="6">
        <f>IFERROR(__xludf.DUMMYFUNCTION("""COMPUTED_VALUE"""),3.8)</f>
        <v>3.8</v>
      </c>
      <c r="K13" s="6">
        <f>IFERROR(__xludf.DUMMYFUNCTION("""COMPUTED_VALUE"""),5.0)</f>
        <v>5</v>
      </c>
      <c r="L13" s="6"/>
      <c r="M13" s="6"/>
      <c r="N13" s="6"/>
      <c r="O13" s="6">
        <f>IFERROR(__xludf.DUMMYFUNCTION("""COMPUTED_VALUE"""),2263076.0)</f>
        <v>2263076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>
        <f>IFERROR(__xludf.DUMMYFUNCTION("""COMPUTED_VALUE"""),13.0)</f>
        <v>13</v>
      </c>
      <c r="B14" s="7" t="str">
        <f>IFERROR(__xludf.DUMMYFUNCTION("""COMPUTED_VALUE"""),"MARIN PINEDA NICOLAS")</f>
        <v>MARIN PINEDA NICOLAS</v>
      </c>
      <c r="C14" s="6">
        <f>IFERROR(__xludf.DUMMYFUNCTION("""COMPUTED_VALUE"""),4.8)</f>
        <v>4.8</v>
      </c>
      <c r="D14" s="6"/>
      <c r="E14" s="6"/>
      <c r="F14" s="6"/>
      <c r="G14" s="6"/>
      <c r="H14" s="6"/>
      <c r="I14" s="6">
        <f>IFERROR(__xludf.DUMMYFUNCTION("""COMPUTED_VALUE"""),3.4)</f>
        <v>3.4</v>
      </c>
      <c r="J14" s="6">
        <f>IFERROR(__xludf.DUMMYFUNCTION("""COMPUTED_VALUE"""),2.0)</f>
        <v>2</v>
      </c>
      <c r="K14" s="6">
        <f>IFERROR(__xludf.DUMMYFUNCTION("""COMPUTED_VALUE"""),5.0)</f>
        <v>5</v>
      </c>
      <c r="L14" s="6"/>
      <c r="M14" s="6"/>
      <c r="N14" s="6"/>
      <c r="O14" s="6">
        <f>IFERROR(__xludf.DUMMYFUNCTION("""COMPUTED_VALUE"""),2263291.0)</f>
        <v>2263291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>
        <f>IFERROR(__xludf.DUMMYFUNCTION("""COMPUTED_VALUE"""),14.0)</f>
        <v>14</v>
      </c>
      <c r="B15" s="7" t="str">
        <f>IFERROR(__xludf.DUMMYFUNCTION("""COMPUTED_VALUE"""),"MARQUEZ CASTAÑEDA JUAN ESTEBAN")</f>
        <v>MARQUEZ CASTAÑEDA JUAN ESTEBAN</v>
      </c>
      <c r="C15" s="6">
        <f>IFERROR(__xludf.DUMMYFUNCTION("""COMPUTED_VALUE"""),5.0)</f>
        <v>5</v>
      </c>
      <c r="D15" s="6"/>
      <c r="E15" s="6"/>
      <c r="F15" s="6"/>
      <c r="G15" s="6"/>
      <c r="H15" s="6"/>
      <c r="I15" s="6">
        <f>IFERROR(__xludf.DUMMYFUNCTION("""COMPUTED_VALUE"""),1.0)</f>
        <v>1</v>
      </c>
      <c r="J15" s="6">
        <f>IFERROR(__xludf.DUMMYFUNCTION("""COMPUTED_VALUE"""),5.0)</f>
        <v>5</v>
      </c>
      <c r="K15" s="6">
        <f>IFERROR(__xludf.DUMMYFUNCTION("""COMPUTED_VALUE"""),5.0)</f>
        <v>5</v>
      </c>
      <c r="L15" s="6"/>
      <c r="M15" s="6"/>
      <c r="N15" s="6"/>
      <c r="O15" s="6">
        <f>IFERROR(__xludf.DUMMYFUNCTION("""COMPUTED_VALUE"""),2262833.0)</f>
        <v>2262833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>
        <f>IFERROR(__xludf.DUMMYFUNCTION("""COMPUTED_VALUE"""),15.0)</f>
        <v>15</v>
      </c>
      <c r="B16" s="7" t="str">
        <f>IFERROR(__xludf.DUMMYFUNCTION("""COMPUTED_VALUE"""),"MONROY ESCOBAR SAMUEL")</f>
        <v>MONROY ESCOBAR SAMUEL</v>
      </c>
      <c r="C16" s="6">
        <f>IFERROR(__xludf.DUMMYFUNCTION("""COMPUTED_VALUE"""),3.6)</f>
        <v>3.6</v>
      </c>
      <c r="D16" s="6"/>
      <c r="E16" s="6"/>
      <c r="F16" s="6"/>
      <c r="G16" s="6"/>
      <c r="H16" s="6"/>
      <c r="I16" s="6">
        <f>IFERROR(__xludf.DUMMYFUNCTION("""COMPUTED_VALUE"""),2.0)</f>
        <v>2</v>
      </c>
      <c r="J16" s="6">
        <f>IFERROR(__xludf.DUMMYFUNCTION("""COMPUTED_VALUE"""),3.8)</f>
        <v>3.8</v>
      </c>
      <c r="K16" s="6">
        <f>IFERROR(__xludf.DUMMYFUNCTION("""COMPUTED_VALUE"""),5.0)</f>
        <v>5</v>
      </c>
      <c r="L16" s="6"/>
      <c r="M16" s="6"/>
      <c r="N16" s="6"/>
      <c r="O16" s="6">
        <f>IFERROR(__xludf.DUMMYFUNCTION("""COMPUTED_VALUE"""),2262797.0)</f>
        <v>2262797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>
        <f>IFERROR(__xludf.DUMMYFUNCTION("""COMPUTED_VALUE"""),16.0)</f>
        <v>16</v>
      </c>
      <c r="B17" s="7" t="str">
        <f>IFERROR(__xludf.DUMMYFUNCTION("""COMPUTED_VALUE"""),"MUÑOZ PINZON VANESSA")</f>
        <v>MUÑOZ PINZON VANESSA</v>
      </c>
      <c r="C17" s="6">
        <f>IFERROR(__xludf.DUMMYFUNCTION("""COMPUTED_VALUE"""),3.3)</f>
        <v>3.3</v>
      </c>
      <c r="D17" s="6"/>
      <c r="E17" s="6"/>
      <c r="F17" s="6"/>
      <c r="G17" s="6"/>
      <c r="H17" s="6"/>
      <c r="I17" s="6">
        <f>IFERROR(__xludf.DUMMYFUNCTION("""COMPUTED_VALUE"""),1.6)</f>
        <v>1.6</v>
      </c>
      <c r="J17" s="6">
        <f>IFERROR(__xludf.DUMMYFUNCTION("""COMPUTED_VALUE"""),3.8)</f>
        <v>3.8</v>
      </c>
      <c r="K17" s="6">
        <f>IFERROR(__xludf.DUMMYFUNCTION("""COMPUTED_VALUE"""),5.0)</f>
        <v>5</v>
      </c>
      <c r="L17" s="6"/>
      <c r="M17" s="6"/>
      <c r="N17" s="6"/>
      <c r="O17" s="6">
        <f>IFERROR(__xludf.DUMMYFUNCTION("""COMPUTED_VALUE"""),2263036.0)</f>
        <v>2263036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>
        <f>IFERROR(__xludf.DUMMYFUNCTION("""COMPUTED_VALUE"""),17.0)</f>
        <v>17</v>
      </c>
      <c r="B18" s="7" t="str">
        <f>IFERROR(__xludf.DUMMYFUNCTION("""COMPUTED_VALUE"""),"NARVAEZ SUAREZ JHAROL FABIAN")</f>
        <v>NARVAEZ SUAREZ JHAROL FABIAN</v>
      </c>
      <c r="C18" s="6">
        <f>IFERROR(__xludf.DUMMYFUNCTION("""COMPUTED_VALUE"""),2.8)</f>
        <v>2.8</v>
      </c>
      <c r="D18" s="6"/>
      <c r="E18" s="6"/>
      <c r="F18" s="6"/>
      <c r="G18" s="6"/>
      <c r="H18" s="6"/>
      <c r="I18" s="6">
        <f>IFERROR(__xludf.DUMMYFUNCTION("""COMPUTED_VALUE"""),2.0)</f>
        <v>2</v>
      </c>
      <c r="J18" s="6">
        <f>IFERROR(__xludf.DUMMYFUNCTION("""COMPUTED_VALUE"""),3.8)</f>
        <v>3.8</v>
      </c>
      <c r="K18" s="6">
        <f>IFERROR(__xludf.DUMMYFUNCTION("""COMPUTED_VALUE"""),5.0)</f>
        <v>5</v>
      </c>
      <c r="L18" s="6"/>
      <c r="M18" s="6"/>
      <c r="N18" s="6"/>
      <c r="O18" s="6">
        <f>IFERROR(__xludf.DUMMYFUNCTION("""COMPUTED_VALUE"""),2262913.0)</f>
        <v>2262913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>
        <f>IFERROR(__xludf.DUMMYFUNCTION("""COMPUTED_VALUE"""),18.0)</f>
        <v>18</v>
      </c>
      <c r="B19" s="7" t="str">
        <f>IFERROR(__xludf.DUMMYFUNCTION("""COMPUTED_VALUE"""),"OBREGON DUARTE ANDRES JOSE")</f>
        <v>OBREGON DUARTE ANDRES JOSE</v>
      </c>
      <c r="C19" s="6">
        <f>IFERROR(__xludf.DUMMYFUNCTION("""COMPUTED_VALUE"""),5.0)</f>
        <v>5</v>
      </c>
      <c r="D19" s="6"/>
      <c r="E19" s="6"/>
      <c r="F19" s="6"/>
      <c r="G19" s="6"/>
      <c r="H19" s="6"/>
      <c r="I19" s="6">
        <f>IFERROR(__xludf.DUMMYFUNCTION("""COMPUTED_VALUE"""),5.0)</f>
        <v>5</v>
      </c>
      <c r="J19" s="6">
        <f>IFERROR(__xludf.DUMMYFUNCTION("""COMPUTED_VALUE"""),3.5)</f>
        <v>3.5</v>
      </c>
      <c r="K19" s="6">
        <f>IFERROR(__xludf.DUMMYFUNCTION("""COMPUTED_VALUE"""),5.0)</f>
        <v>5</v>
      </c>
      <c r="L19" s="6"/>
      <c r="M19" s="6"/>
      <c r="N19" s="6"/>
      <c r="O19" s="6">
        <f>IFERROR(__xludf.DUMMYFUNCTION("""COMPUTED_VALUE"""),2263115.0)</f>
        <v>2263115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>
        <f>IFERROR(__xludf.DUMMYFUNCTION("""COMPUTED_VALUE"""),19.0)</f>
        <v>19</v>
      </c>
      <c r="B20" s="7" t="str">
        <f>IFERROR(__xludf.DUMMYFUNCTION("""COMPUTED_VALUE"""),"OJEDA JAIMES JOSE DAVID")</f>
        <v>OJEDA JAIMES JOSE DAVID</v>
      </c>
      <c r="C20" s="6">
        <f>IFERROR(__xludf.DUMMYFUNCTION("""COMPUTED_VALUE"""),4.6)</f>
        <v>4.6</v>
      </c>
      <c r="D20" s="6"/>
      <c r="E20" s="6"/>
      <c r="F20" s="6"/>
      <c r="G20" s="6"/>
      <c r="H20" s="6"/>
      <c r="I20" s="6">
        <f>IFERROR(__xludf.DUMMYFUNCTION("""COMPUTED_VALUE"""),3.4)</f>
        <v>3.4</v>
      </c>
      <c r="J20" s="6">
        <f>IFERROR(__xludf.DUMMYFUNCTION("""COMPUTED_VALUE"""),3.4)</f>
        <v>3.4</v>
      </c>
      <c r="K20" s="6">
        <f>IFERROR(__xludf.DUMMYFUNCTION("""COMPUTED_VALUE"""),5.0)</f>
        <v>5</v>
      </c>
      <c r="L20" s="6"/>
      <c r="M20" s="6"/>
      <c r="N20" s="6"/>
      <c r="O20" s="6">
        <f>IFERROR(__xludf.DUMMYFUNCTION("""COMPUTED_VALUE"""),2263124.0)</f>
        <v>2263124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>
        <f>IFERROR(__xludf.DUMMYFUNCTION("""COMPUTED_VALUE"""),20.0)</f>
        <v>20</v>
      </c>
      <c r="B21" s="7" t="str">
        <f>IFERROR(__xludf.DUMMYFUNCTION("""COMPUTED_VALUE"""),"PINEDA CERVANTES JUAN DAVID")</f>
        <v>PINEDA CERVANTES JUAN DAVID</v>
      </c>
      <c r="C21" s="6">
        <f>IFERROR(__xludf.DUMMYFUNCTION("""COMPUTED_VALUE"""),5.0)</f>
        <v>5</v>
      </c>
      <c r="D21" s="6"/>
      <c r="E21" s="6"/>
      <c r="F21" s="6"/>
      <c r="G21" s="6"/>
      <c r="H21" s="6"/>
      <c r="I21" s="6">
        <f>IFERROR(__xludf.DUMMYFUNCTION("""COMPUTED_VALUE"""),5.0)</f>
        <v>5</v>
      </c>
      <c r="J21" s="6">
        <f>IFERROR(__xludf.DUMMYFUNCTION("""COMPUTED_VALUE"""),4.0)</f>
        <v>4</v>
      </c>
      <c r="K21" s="6">
        <f>IFERROR(__xludf.DUMMYFUNCTION("""COMPUTED_VALUE"""),5.0)</f>
        <v>5</v>
      </c>
      <c r="L21" s="6"/>
      <c r="M21" s="6"/>
      <c r="N21" s="6"/>
      <c r="O21" s="6">
        <f>IFERROR(__xludf.DUMMYFUNCTION("""COMPUTED_VALUE"""),2262915.0)</f>
        <v>2262915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>
        <f>IFERROR(__xludf.DUMMYFUNCTION("""COMPUTED_VALUE"""),21.0)</f>
        <v>21</v>
      </c>
      <c r="B22" s="7" t="str">
        <f>IFERROR(__xludf.DUMMYFUNCTION("""COMPUTED_VALUE"""),"PLAZAS CARO LAURA CAMILA")</f>
        <v>PLAZAS CARO LAURA CAMILA</v>
      </c>
      <c r="C22" s="6">
        <f>IFERROR(__xludf.DUMMYFUNCTION("""COMPUTED_VALUE"""),5.0)</f>
        <v>5</v>
      </c>
      <c r="D22" s="6"/>
      <c r="E22" s="6"/>
      <c r="F22" s="6"/>
      <c r="G22" s="6"/>
      <c r="H22" s="6"/>
      <c r="I22" s="6">
        <f>IFERROR(__xludf.DUMMYFUNCTION("""COMPUTED_VALUE"""),2.0)</f>
        <v>2</v>
      </c>
      <c r="J22" s="6">
        <f>IFERROR(__xludf.DUMMYFUNCTION("""COMPUTED_VALUE"""),3.6)</f>
        <v>3.6</v>
      </c>
      <c r="K22" s="6">
        <f>IFERROR(__xludf.DUMMYFUNCTION("""COMPUTED_VALUE"""),5.0)</f>
        <v>5</v>
      </c>
      <c r="L22" s="6"/>
      <c r="M22" s="6"/>
      <c r="N22" s="6"/>
      <c r="O22" s="6">
        <f>IFERROR(__xludf.DUMMYFUNCTION("""COMPUTED_VALUE"""),2261867.0)</f>
        <v>2261867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>
        <f>IFERROR(__xludf.DUMMYFUNCTION("""COMPUTED_VALUE"""),22.0)</f>
        <v>22</v>
      </c>
      <c r="B23" s="7" t="str">
        <f>IFERROR(__xludf.DUMMYFUNCTION("""COMPUTED_VALUE"""),"QUEVEDO GUTIERREZ JHOAN DANIEL")</f>
        <v>QUEVEDO GUTIERREZ JHOAN DANIEL</v>
      </c>
      <c r="C23" s="6">
        <f>IFERROR(__xludf.DUMMYFUNCTION("""COMPUTED_VALUE"""),5.0)</f>
        <v>5</v>
      </c>
      <c r="D23" s="6"/>
      <c r="E23" s="6"/>
      <c r="F23" s="6"/>
      <c r="G23" s="6"/>
      <c r="H23" s="6"/>
      <c r="I23" s="6">
        <f>IFERROR(__xludf.DUMMYFUNCTION("""COMPUTED_VALUE"""),5.0)</f>
        <v>5</v>
      </c>
      <c r="J23" s="6">
        <f>IFERROR(__xludf.DUMMYFUNCTION("""COMPUTED_VALUE"""),4.0)</f>
        <v>4</v>
      </c>
      <c r="K23" s="6">
        <f>IFERROR(__xludf.DUMMYFUNCTION("""COMPUTED_VALUE"""),5.0)</f>
        <v>5</v>
      </c>
      <c r="L23" s="6"/>
      <c r="M23" s="6"/>
      <c r="N23" s="6"/>
      <c r="O23" s="6">
        <f>IFERROR(__xludf.DUMMYFUNCTION("""COMPUTED_VALUE"""),2262941.0)</f>
        <v>2262941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>
        <f>IFERROR(__xludf.DUMMYFUNCTION("""COMPUTED_VALUE"""),23.0)</f>
        <v>23</v>
      </c>
      <c r="B24" s="7" t="str">
        <f>IFERROR(__xludf.DUMMYFUNCTION("""COMPUTED_VALUE"""),"RINCON RODRIGUEZ JULIAN SANTIAGO")</f>
        <v>RINCON RODRIGUEZ JULIAN SANTIAGO</v>
      </c>
      <c r="C24" s="6">
        <f>IFERROR(__xludf.DUMMYFUNCTION("""COMPUTED_VALUE"""),4.3)</f>
        <v>4.3</v>
      </c>
      <c r="D24" s="6"/>
      <c r="E24" s="6"/>
      <c r="F24" s="6"/>
      <c r="G24" s="6"/>
      <c r="H24" s="6"/>
      <c r="I24" s="6">
        <f>IFERROR(__xludf.DUMMYFUNCTION("""COMPUTED_VALUE"""),2.0)</f>
        <v>2</v>
      </c>
      <c r="J24" s="6">
        <f>IFERROR(__xludf.DUMMYFUNCTION("""COMPUTED_VALUE"""),3.4)</f>
        <v>3.4</v>
      </c>
      <c r="K24" s="6">
        <f>IFERROR(__xludf.DUMMYFUNCTION("""COMPUTED_VALUE"""),5.0)</f>
        <v>5</v>
      </c>
      <c r="L24" s="6"/>
      <c r="M24" s="6"/>
      <c r="N24" s="6"/>
      <c r="O24" s="6">
        <f>IFERROR(__xludf.DUMMYFUNCTION("""COMPUTED_VALUE"""),2262847.0)</f>
        <v>2262847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>
        <f>IFERROR(__xludf.DUMMYFUNCTION("""COMPUTED_VALUE"""),24.0)</f>
        <v>24</v>
      </c>
      <c r="B25" s="7" t="str">
        <f>IFERROR(__xludf.DUMMYFUNCTION("""COMPUTED_VALUE"""),"RODRIGUEZ RIVERA VALERIA")</f>
        <v>RODRIGUEZ RIVERA VALERIA</v>
      </c>
      <c r="C25" s="6">
        <f>IFERROR(__xludf.DUMMYFUNCTION("""COMPUTED_VALUE"""),5.0)</f>
        <v>5</v>
      </c>
      <c r="D25" s="6"/>
      <c r="E25" s="6"/>
      <c r="F25" s="6"/>
      <c r="G25" s="6"/>
      <c r="H25" s="6"/>
      <c r="I25" s="6">
        <f>IFERROR(__xludf.DUMMYFUNCTION("""COMPUTED_VALUE"""),3.0)</f>
        <v>3</v>
      </c>
      <c r="J25" s="6">
        <f>IFERROR(__xludf.DUMMYFUNCTION("""COMPUTED_VALUE"""),3.0)</f>
        <v>3</v>
      </c>
      <c r="K25" s="6">
        <f>IFERROR(__xludf.DUMMYFUNCTION("""COMPUTED_VALUE"""),5.0)</f>
        <v>5</v>
      </c>
      <c r="L25" s="6"/>
      <c r="M25" s="6"/>
      <c r="N25" s="6"/>
      <c r="O25" s="6">
        <f>IFERROR(__xludf.DUMMYFUNCTION("""COMPUTED_VALUE"""),2262882.0)</f>
        <v>2262882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>
        <f>IFERROR(__xludf.DUMMYFUNCTION("""COMPUTED_VALUE"""),25.0)</f>
        <v>25</v>
      </c>
      <c r="B26" s="7" t="str">
        <f>IFERROR(__xludf.DUMMYFUNCTION("""COMPUTED_VALUE"""),"SERRANO RUEDA ISABELA")</f>
        <v>SERRANO RUEDA ISABELA</v>
      </c>
      <c r="C26" s="6">
        <f>IFERROR(__xludf.DUMMYFUNCTION("""COMPUTED_VALUE"""),3.4)</f>
        <v>3.4</v>
      </c>
      <c r="D26" s="6"/>
      <c r="E26" s="6"/>
      <c r="F26" s="6"/>
      <c r="G26" s="6"/>
      <c r="H26" s="6"/>
      <c r="I26" s="6">
        <f>IFERROR(__xludf.DUMMYFUNCTION("""COMPUTED_VALUE"""),3.8)</f>
        <v>3.8</v>
      </c>
      <c r="J26" s="6">
        <f>IFERROR(__xludf.DUMMYFUNCTION("""COMPUTED_VALUE"""),3.8)</f>
        <v>3.8</v>
      </c>
      <c r="K26" s="6">
        <f>IFERROR(__xludf.DUMMYFUNCTION("""COMPUTED_VALUE"""),5.0)</f>
        <v>5</v>
      </c>
      <c r="L26" s="6"/>
      <c r="M26" s="6"/>
      <c r="N26" s="6"/>
      <c r="O26" s="6">
        <f>IFERROR(__xludf.DUMMYFUNCTION("""COMPUTED_VALUE"""),2263137.0)</f>
        <v>2263137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>
        <f>IFERROR(__xludf.DUMMYFUNCTION("""COMPUTED_VALUE"""),26.0)</f>
        <v>26</v>
      </c>
      <c r="B27" s="7" t="str">
        <f>IFERROR(__xludf.DUMMYFUNCTION("""COMPUTED_VALUE"""),"SUAREZ HERNANDEZ ANDRES FELIPE")</f>
        <v>SUAREZ HERNANDEZ ANDRES FELIPE</v>
      </c>
      <c r="C27" s="6">
        <f>IFERROR(__xludf.DUMMYFUNCTION("""COMPUTED_VALUE"""),3.0)</f>
        <v>3</v>
      </c>
      <c r="D27" s="6"/>
      <c r="E27" s="6"/>
      <c r="F27" s="6"/>
      <c r="G27" s="6"/>
      <c r="H27" s="6"/>
      <c r="I27" s="6">
        <f>IFERROR(__xludf.DUMMYFUNCTION("""COMPUTED_VALUE"""),1.0)</f>
        <v>1</v>
      </c>
      <c r="J27" s="6">
        <f>IFERROR(__xludf.DUMMYFUNCTION("""COMPUTED_VALUE"""),3.0)</f>
        <v>3</v>
      </c>
      <c r="K27" s="6">
        <f>IFERROR(__xludf.DUMMYFUNCTION("""COMPUTED_VALUE"""),5.0)</f>
        <v>5</v>
      </c>
      <c r="L27" s="6"/>
      <c r="M27" s="6"/>
      <c r="N27" s="6"/>
      <c r="O27" s="6">
        <f>IFERROR(__xludf.DUMMYFUNCTION("""COMPUTED_VALUE"""),2263289.0)</f>
        <v>2263289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>
        <f>IFERROR(__xludf.DUMMYFUNCTION("""COMPUTED_VALUE"""),27.0)</f>
        <v>27</v>
      </c>
      <c r="B28" s="7" t="str">
        <f>IFERROR(__xludf.DUMMYFUNCTION("""COMPUTED_VALUE"""),"TORRES PIMIENTO VICTOR MANUEL")</f>
        <v>TORRES PIMIENTO VICTOR MANUEL</v>
      </c>
      <c r="C28" s="6">
        <f>IFERROR(__xludf.DUMMYFUNCTION("""COMPUTED_VALUE"""),5.0)</f>
        <v>5</v>
      </c>
      <c r="D28" s="6"/>
      <c r="E28" s="6"/>
      <c r="F28" s="6"/>
      <c r="G28" s="6"/>
      <c r="H28" s="6"/>
      <c r="I28" s="6">
        <f>IFERROR(__xludf.DUMMYFUNCTION("""COMPUTED_VALUE"""),2.0)</f>
        <v>2</v>
      </c>
      <c r="J28" s="6">
        <f>IFERROR(__xludf.DUMMYFUNCTION("""COMPUTED_VALUE"""),5.0)</f>
        <v>5</v>
      </c>
      <c r="K28" s="6">
        <f>IFERROR(__xludf.DUMMYFUNCTION("""COMPUTED_VALUE"""),5.0)</f>
        <v>5</v>
      </c>
      <c r="L28" s="6"/>
      <c r="M28" s="6"/>
      <c r="N28" s="6"/>
      <c r="O28" s="6">
        <f>IFERROR(__xludf.DUMMYFUNCTION("""COMPUTED_VALUE"""),2263073.0)</f>
        <v>2263073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>
        <f>IFERROR(__xludf.DUMMYFUNCTION("""COMPUTED_VALUE"""),28.0)</f>
        <v>28</v>
      </c>
      <c r="B29" s="7" t="str">
        <f>IFERROR(__xludf.DUMMYFUNCTION("""COMPUTED_VALUE"""),"URIBE CAMPOS DAVID SANTIAGO")</f>
        <v>URIBE CAMPOS DAVID SANTIAGO</v>
      </c>
      <c r="C29" s="6">
        <f>IFERROR(__xludf.DUMMYFUNCTION("""COMPUTED_VALUE"""),4.2)</f>
        <v>4.2</v>
      </c>
      <c r="D29" s="6"/>
      <c r="E29" s="6"/>
      <c r="F29" s="6"/>
      <c r="G29" s="6"/>
      <c r="H29" s="6"/>
      <c r="I29" s="6">
        <f>IFERROR(__xludf.DUMMYFUNCTION("""COMPUTED_VALUE"""),3.8)</f>
        <v>3.8</v>
      </c>
      <c r="J29" s="6">
        <f>IFERROR(__xludf.DUMMYFUNCTION("""COMPUTED_VALUE"""),0.0)</f>
        <v>0</v>
      </c>
      <c r="K29" s="6">
        <f>IFERROR(__xludf.DUMMYFUNCTION("""COMPUTED_VALUE"""),5.0)</f>
        <v>5</v>
      </c>
      <c r="L29" s="6"/>
      <c r="M29" s="6"/>
      <c r="N29" s="6"/>
      <c r="O29" s="6">
        <f>IFERROR(__xludf.DUMMYFUNCTION("""COMPUTED_VALUE"""),2262868.0)</f>
        <v>2262868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7">
        <f>IFERROR(__xludf.DUMMYFUNCTION("""COMPUTED_VALUE"""),29.0)</f>
        <v>29</v>
      </c>
      <c r="B30" s="7" t="str">
        <f>IFERROR(__xludf.DUMMYFUNCTION("""COMPUTED_VALUE"""),"VARGAS DURAN BRAYAN ANTONIO")</f>
        <v>VARGAS DURAN BRAYAN ANTONIO</v>
      </c>
      <c r="C30" s="7">
        <f>IFERROR(__xludf.DUMMYFUNCTION("""COMPUTED_VALUE"""),3.0)</f>
        <v>3</v>
      </c>
      <c r="D30" s="7"/>
      <c r="E30" s="7"/>
      <c r="F30" s="7"/>
      <c r="G30" s="7"/>
      <c r="H30" s="7"/>
      <c r="I30" s="7">
        <f>IFERROR(__xludf.DUMMYFUNCTION("""COMPUTED_VALUE"""),3.8)</f>
        <v>3.8</v>
      </c>
      <c r="J30" s="7">
        <f>IFERROR(__xludf.DUMMYFUNCTION("""COMPUTED_VALUE"""),3.8)</f>
        <v>3.8</v>
      </c>
      <c r="K30" s="7">
        <f>IFERROR(__xludf.DUMMYFUNCTION("""COMPUTED_VALUE"""),5.0)</f>
        <v>5</v>
      </c>
      <c r="L30" s="7"/>
      <c r="M30" s="7"/>
      <c r="N30" s="7"/>
      <c r="O30" s="7">
        <f>IFERROR(__xludf.DUMMYFUNCTION("""COMPUTED_VALUE"""),2243227.0)</f>
        <v>2243227</v>
      </c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IFERROR(__xludf.DUMMYFUNCTION("IMPORTRANGE(""1ZPOqQHbu3GgkppWiT-MJmzSSa45xtiJhgLbHBetpC4Q"",""CALCULO1!A1:Q36"")"),"No")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4" t="str">
        <f>IFERROR(__xludf.DUMMYFUNCTION("""COMPUTED_VALUE"""),"TUTOR")</f>
        <v>TUTOR</v>
      </c>
      <c r="I1" s="4" t="str">
        <f>IFERROR(__xludf.DUMMYFUNCTION("""COMPUTED_VALUE"""),"ALEKS")</f>
        <v>ALEKS</v>
      </c>
      <c r="J1" s="1" t="str">
        <f>IFERROR(__xludf.DUMMYFUNCTION("""COMPUTED_VALUE"""),"Q0")</f>
        <v>Q0</v>
      </c>
      <c r="K1" s="1" t="str">
        <f>IFERROR(__xludf.DUMMYFUNCTION("""COMPUTED_VALUE"""),"Q1")</f>
        <v>Q1</v>
      </c>
      <c r="L1" s="1" t="str">
        <f>IFERROR(__xludf.DUMMYFUNCTION("""COMPUTED_VALUE"""),"Q2")</f>
        <v>Q2</v>
      </c>
      <c r="M1" s="1" t="str">
        <f>IFERROR(__xludf.DUMMYFUNCTION("""COMPUTED_VALUE"""),"Ma1")</f>
        <v>Ma1</v>
      </c>
      <c r="N1" s="1"/>
      <c r="O1" s="1"/>
      <c r="P1" s="5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  <c r="Y1" s="1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6">
        <f>IFERROR(__xludf.DUMMYFUNCTION("""COMPUTED_VALUE"""),1.0)</f>
        <v>1</v>
      </c>
      <c r="B2" s="7" t="str">
        <f>IFERROR(__xludf.DUMMYFUNCTION("""COMPUTED_VALUE"""),"ANAYA SEQUEDA MANUEL ESTEVEN")</f>
        <v>ANAYA SEQUEDA MANUEL ESTEVEN</v>
      </c>
      <c r="C2" s="6">
        <f>IFERROR(__xludf.DUMMYFUNCTION("""COMPUTED_VALUE"""),0.2)</f>
        <v>0.2</v>
      </c>
      <c r="D2" s="6"/>
      <c r="E2" s="6"/>
      <c r="F2" s="6"/>
      <c r="G2" s="6"/>
      <c r="H2" s="6"/>
      <c r="I2" s="6"/>
      <c r="J2" s="6">
        <f>IFERROR(__xludf.DUMMYFUNCTION("""COMPUTED_VALUE"""),4.5)</f>
        <v>4.5</v>
      </c>
      <c r="K2" s="6">
        <f>IFERROR(__xludf.DUMMYFUNCTION("""COMPUTED_VALUE"""),0.0)</f>
        <v>0</v>
      </c>
      <c r="L2" s="6"/>
      <c r="M2" s="6"/>
      <c r="N2" s="6"/>
      <c r="O2" s="6"/>
      <c r="P2" s="6"/>
      <c r="Q2" s="6">
        <f>IFERROR(__xludf.DUMMYFUNCTION("""COMPUTED_VALUE"""),2262336.0)</f>
        <v>2262336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6">
        <f>IFERROR(__xludf.DUMMYFUNCTION("""COMPUTED_VALUE"""),2.0)</f>
        <v>2</v>
      </c>
      <c r="B3" s="7" t="str">
        <f>IFERROR(__xludf.DUMMYFUNCTION("""COMPUTED_VALUE"""),"ANGARITA QUINTERO LUISA FERNANDA")</f>
        <v>ANGARITA QUINTERO LUISA FERNANDA</v>
      </c>
      <c r="C3" s="6">
        <f>IFERROR(__xludf.DUMMYFUNCTION("""COMPUTED_VALUE"""),0.4)</f>
        <v>0.4</v>
      </c>
      <c r="D3" s="6"/>
      <c r="E3" s="6"/>
      <c r="F3" s="6"/>
      <c r="G3" s="6"/>
      <c r="H3" s="6"/>
      <c r="I3" s="6"/>
      <c r="J3" s="6">
        <f>IFERROR(__xludf.DUMMYFUNCTION("""COMPUTED_VALUE"""),5.0)</f>
        <v>5</v>
      </c>
      <c r="K3" s="6">
        <f>IFERROR(__xludf.DUMMYFUNCTION("""COMPUTED_VALUE"""),2.83)</f>
        <v>2.83</v>
      </c>
      <c r="L3" s="6"/>
      <c r="M3" s="6"/>
      <c r="N3" s="6"/>
      <c r="O3" s="6"/>
      <c r="P3" s="6"/>
      <c r="Q3" s="6">
        <f>IFERROR(__xludf.DUMMYFUNCTION("""COMPUTED_VALUE"""),2262712.0)</f>
        <v>2262712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6">
        <f>IFERROR(__xludf.DUMMYFUNCTION("""COMPUTED_VALUE"""),3.0)</f>
        <v>3</v>
      </c>
      <c r="B4" s="7" t="str">
        <f>IFERROR(__xludf.DUMMYFUNCTION("""COMPUTED_VALUE"""),"ASPRILLA VELANDIA ALEX SANTIAGO")</f>
        <v>ASPRILLA VELANDIA ALEX SANTIAGO</v>
      </c>
      <c r="C4" s="6">
        <f>IFERROR(__xludf.DUMMYFUNCTION("""COMPUTED_VALUE"""),0.5)</f>
        <v>0.5</v>
      </c>
      <c r="D4" s="6"/>
      <c r="E4" s="6"/>
      <c r="F4" s="6"/>
      <c r="G4" s="6"/>
      <c r="H4" s="6"/>
      <c r="I4" s="6"/>
      <c r="J4" s="6">
        <f>IFERROR(__xludf.DUMMYFUNCTION("""COMPUTED_VALUE"""),5.0)</f>
        <v>5</v>
      </c>
      <c r="K4" s="6">
        <f>IFERROR(__xludf.DUMMYFUNCTION("""COMPUTED_VALUE"""),4.17)</f>
        <v>4.17</v>
      </c>
      <c r="L4" s="6"/>
      <c r="M4" s="6"/>
      <c r="N4" s="6"/>
      <c r="O4" s="6"/>
      <c r="P4" s="6"/>
      <c r="Q4" s="6">
        <f>IFERROR(__xludf.DUMMYFUNCTION("""COMPUTED_VALUE"""),2262739.0)</f>
        <v>2262739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6">
        <f>IFERROR(__xludf.DUMMYFUNCTION("""COMPUTED_VALUE"""),4.0)</f>
        <v>4</v>
      </c>
      <c r="B5" s="7" t="str">
        <f>IFERROR(__xludf.DUMMYFUNCTION("""COMPUTED_VALUE"""),"BARRERA LEON KEVIN ENRIQUE")</f>
        <v>BARRERA LEON KEVIN ENRIQUE</v>
      </c>
      <c r="C5" s="6">
        <f>IFERROR(__xludf.DUMMYFUNCTION("""COMPUTED_VALUE"""),0.5)</f>
        <v>0.5</v>
      </c>
      <c r="D5" s="6"/>
      <c r="E5" s="6"/>
      <c r="F5" s="6"/>
      <c r="G5" s="6"/>
      <c r="H5" s="6"/>
      <c r="I5" s="6"/>
      <c r="J5" s="6">
        <f>IFERROR(__xludf.DUMMYFUNCTION("""COMPUTED_VALUE"""),5.0)</f>
        <v>5</v>
      </c>
      <c r="K5" s="6">
        <f>IFERROR(__xludf.DUMMYFUNCTION("""COMPUTED_VALUE"""),4.67)</f>
        <v>4.67</v>
      </c>
      <c r="L5" s="6"/>
      <c r="M5" s="6"/>
      <c r="N5" s="6"/>
      <c r="O5" s="6"/>
      <c r="P5" s="6"/>
      <c r="Q5" s="6">
        <f>IFERROR(__xludf.DUMMYFUNCTION("""COMPUTED_VALUE"""),2262501.0)</f>
        <v>2262501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6">
        <f>IFERROR(__xludf.DUMMYFUNCTION("""COMPUTED_VALUE"""),5.0)</f>
        <v>5</v>
      </c>
      <c r="B6" s="7" t="str">
        <f>IFERROR(__xludf.DUMMYFUNCTION("""COMPUTED_VALUE"""),"BENITEZ ARIAS ISABELLA VALENTINA")</f>
        <v>BENITEZ ARIAS ISABELLA VALENTINA</v>
      </c>
      <c r="C6" s="6">
        <f>IFERROR(__xludf.DUMMYFUNCTION("""COMPUTED_VALUE"""),0.4)</f>
        <v>0.4</v>
      </c>
      <c r="D6" s="6"/>
      <c r="E6" s="6"/>
      <c r="F6" s="6"/>
      <c r="G6" s="6"/>
      <c r="H6" s="6"/>
      <c r="I6" s="6"/>
      <c r="J6" s="6">
        <f>IFERROR(__xludf.DUMMYFUNCTION("""COMPUTED_VALUE"""),4.67)</f>
        <v>4.67</v>
      </c>
      <c r="K6" s="6">
        <f>IFERROR(__xludf.DUMMYFUNCTION("""COMPUTED_VALUE"""),4.08)</f>
        <v>4.08</v>
      </c>
      <c r="L6" s="6"/>
      <c r="M6" s="6"/>
      <c r="N6" s="6"/>
      <c r="O6" s="6"/>
      <c r="P6" s="6"/>
      <c r="Q6" s="6">
        <f>IFERROR(__xludf.DUMMYFUNCTION("""COMPUTED_VALUE"""),2262759.0)</f>
        <v>2262759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6">
        <f>IFERROR(__xludf.DUMMYFUNCTION("""COMPUTED_VALUE"""),6.0)</f>
        <v>6</v>
      </c>
      <c r="B7" s="7" t="str">
        <f>IFERROR(__xludf.DUMMYFUNCTION("""COMPUTED_VALUE"""),"BERMUDEZ ANAYA DANIEL MATEO")</f>
        <v>BERMUDEZ ANAYA DANIEL MATEO</v>
      </c>
      <c r="C7" s="6">
        <f>IFERROR(__xludf.DUMMYFUNCTION("""COMPUTED_VALUE"""),0.4)</f>
        <v>0.4</v>
      </c>
      <c r="D7" s="6"/>
      <c r="E7" s="6"/>
      <c r="F7" s="6"/>
      <c r="G7" s="6"/>
      <c r="H7" s="6"/>
      <c r="I7" s="6"/>
      <c r="J7" s="6">
        <f>IFERROR(__xludf.DUMMYFUNCTION("""COMPUTED_VALUE"""),3.67)</f>
        <v>3.67</v>
      </c>
      <c r="K7" s="6">
        <f>IFERROR(__xludf.DUMMYFUNCTION("""COMPUTED_VALUE"""),4.17)</f>
        <v>4.17</v>
      </c>
      <c r="L7" s="6"/>
      <c r="M7" s="6"/>
      <c r="N7" s="6"/>
      <c r="O7" s="6"/>
      <c r="P7" s="6"/>
      <c r="Q7" s="6">
        <f>IFERROR(__xludf.DUMMYFUNCTION("""COMPUTED_VALUE"""),2260624.0)</f>
        <v>2260624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6">
        <f>IFERROR(__xludf.DUMMYFUNCTION("""COMPUTED_VALUE"""),7.0)</f>
        <v>7</v>
      </c>
      <c r="B8" s="7" t="str">
        <f>IFERROR(__xludf.DUMMYFUNCTION("""COMPUTED_VALUE"""),"BERNAL GOMEZ LISETH JULIANA")</f>
        <v>BERNAL GOMEZ LISETH JULIANA</v>
      </c>
      <c r="C8" s="6">
        <f>IFERROR(__xludf.DUMMYFUNCTION("""COMPUTED_VALUE"""),0.5)</f>
        <v>0.5</v>
      </c>
      <c r="D8" s="6"/>
      <c r="E8" s="6"/>
      <c r="F8" s="6"/>
      <c r="G8" s="6"/>
      <c r="H8" s="6"/>
      <c r="I8" s="6"/>
      <c r="J8" s="6">
        <f>IFERROR(__xludf.DUMMYFUNCTION("""COMPUTED_VALUE"""),5.0)</f>
        <v>5</v>
      </c>
      <c r="K8" s="6">
        <f>IFERROR(__xludf.DUMMYFUNCTION("""COMPUTED_VALUE"""),4.92)</f>
        <v>4.92</v>
      </c>
      <c r="L8" s="6"/>
      <c r="M8" s="6"/>
      <c r="N8" s="6"/>
      <c r="O8" s="6"/>
      <c r="P8" s="6"/>
      <c r="Q8" s="6">
        <f>IFERROR(__xludf.DUMMYFUNCTION("""COMPUTED_VALUE"""),2262444.0)</f>
        <v>2262444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6">
        <f>IFERROR(__xludf.DUMMYFUNCTION("""COMPUTED_VALUE"""),8.0)</f>
        <v>8</v>
      </c>
      <c r="B9" s="7" t="str">
        <f>IFERROR(__xludf.DUMMYFUNCTION("""COMPUTED_VALUE"""),"BOLIVAR BARRERA ROMI PAOLA")</f>
        <v>BOLIVAR BARRERA ROMI PAOLA</v>
      </c>
      <c r="C9" s="6">
        <f>IFERROR(__xludf.DUMMYFUNCTION("""COMPUTED_VALUE"""),0.5)</f>
        <v>0.5</v>
      </c>
      <c r="D9" s="6"/>
      <c r="E9" s="6"/>
      <c r="F9" s="6"/>
      <c r="G9" s="6"/>
      <c r="H9" s="6"/>
      <c r="I9" s="6"/>
      <c r="J9" s="6">
        <f>IFERROR(__xludf.DUMMYFUNCTION("""COMPUTED_VALUE"""),4.67)</f>
        <v>4.67</v>
      </c>
      <c r="K9" s="6">
        <f>IFERROR(__xludf.DUMMYFUNCTION("""COMPUTED_VALUE"""),4.75)</f>
        <v>4.75</v>
      </c>
      <c r="L9" s="6"/>
      <c r="M9" s="6"/>
      <c r="N9" s="6"/>
      <c r="O9" s="6"/>
      <c r="P9" s="6"/>
      <c r="Q9" s="6">
        <f>IFERROR(__xludf.DUMMYFUNCTION("""COMPUTED_VALUE"""),2262438.0)</f>
        <v>2262438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6">
        <f>IFERROR(__xludf.DUMMYFUNCTION("""COMPUTED_VALUE"""),9.0)</f>
        <v>9</v>
      </c>
      <c r="B10" s="7" t="str">
        <f>IFERROR(__xludf.DUMMYFUNCTION("""COMPUTED_VALUE"""),"CAMPOS RODRIGUEZ CAROL MARCELA")</f>
        <v>CAMPOS RODRIGUEZ CAROL MARCELA</v>
      </c>
      <c r="C10" s="6">
        <f>IFERROR(__xludf.DUMMYFUNCTION("""COMPUTED_VALUE"""),0.5)</f>
        <v>0.5</v>
      </c>
      <c r="D10" s="6"/>
      <c r="E10" s="6"/>
      <c r="F10" s="6"/>
      <c r="G10" s="6"/>
      <c r="H10" s="6"/>
      <c r="I10" s="6"/>
      <c r="J10" s="6">
        <f>IFERROR(__xludf.DUMMYFUNCTION("""COMPUTED_VALUE"""),5.0)</f>
        <v>5</v>
      </c>
      <c r="K10" s="6">
        <f>IFERROR(__xludf.DUMMYFUNCTION("""COMPUTED_VALUE"""),4.83)</f>
        <v>4.83</v>
      </c>
      <c r="L10" s="6"/>
      <c r="M10" s="6"/>
      <c r="N10" s="6"/>
      <c r="O10" s="6"/>
      <c r="P10" s="6"/>
      <c r="Q10" s="6">
        <f>IFERROR(__xludf.DUMMYFUNCTION("""COMPUTED_VALUE"""),2262746.0)</f>
        <v>2262746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6">
        <f>IFERROR(__xludf.DUMMYFUNCTION("""COMPUTED_VALUE"""),10.0)</f>
        <v>10</v>
      </c>
      <c r="B11" s="7" t="str">
        <f>IFERROR(__xludf.DUMMYFUNCTION("""COMPUTED_VALUE"""),"CUBILLOS CARDENAS MELANY ZARAY")</f>
        <v>CUBILLOS CARDENAS MELANY ZARAY</v>
      </c>
      <c r="C11" s="6">
        <f>IFERROR(__xludf.DUMMYFUNCTION("""COMPUTED_VALUE"""),0.5)</f>
        <v>0.5</v>
      </c>
      <c r="D11" s="6"/>
      <c r="E11" s="6"/>
      <c r="F11" s="6"/>
      <c r="G11" s="6"/>
      <c r="H11" s="6"/>
      <c r="I11" s="6"/>
      <c r="J11" s="6">
        <f>IFERROR(__xludf.DUMMYFUNCTION("""COMPUTED_VALUE"""),4.67)</f>
        <v>4.67</v>
      </c>
      <c r="K11" s="6">
        <f>IFERROR(__xludf.DUMMYFUNCTION("""COMPUTED_VALUE"""),4.42)</f>
        <v>4.42</v>
      </c>
      <c r="L11" s="6"/>
      <c r="M11" s="6"/>
      <c r="N11" s="6"/>
      <c r="O11" s="6"/>
      <c r="P11" s="6"/>
      <c r="Q11" s="6">
        <f>IFERROR(__xludf.DUMMYFUNCTION("""COMPUTED_VALUE"""),2262454.0)</f>
        <v>2262454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6">
        <f>IFERROR(__xludf.DUMMYFUNCTION("""COMPUTED_VALUE"""),11.0)</f>
        <v>11</v>
      </c>
      <c r="B12" s="7" t="str">
        <f>IFERROR(__xludf.DUMMYFUNCTION("""COMPUTED_VALUE"""),"DIAZ BLANCO JUAN JOSE")</f>
        <v>DIAZ BLANCO JUAN JOSE</v>
      </c>
      <c r="C12" s="6">
        <f>IFERROR(__xludf.DUMMYFUNCTION("""COMPUTED_VALUE"""),0.5)</f>
        <v>0.5</v>
      </c>
      <c r="D12" s="6"/>
      <c r="E12" s="6"/>
      <c r="F12" s="6"/>
      <c r="G12" s="6"/>
      <c r="H12" s="6"/>
      <c r="I12" s="6"/>
      <c r="J12" s="6">
        <f>IFERROR(__xludf.DUMMYFUNCTION("""COMPUTED_VALUE"""),5.0)</f>
        <v>5</v>
      </c>
      <c r="K12" s="6">
        <f>IFERROR(__xludf.DUMMYFUNCTION("""COMPUTED_VALUE"""),5.0)</f>
        <v>5</v>
      </c>
      <c r="L12" s="6"/>
      <c r="M12" s="6"/>
      <c r="N12" s="6"/>
      <c r="O12" s="6"/>
      <c r="P12" s="6"/>
      <c r="Q12" s="6">
        <f>IFERROR(__xludf.DUMMYFUNCTION("""COMPUTED_VALUE"""),2263866.0)</f>
        <v>2263866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6">
        <f>IFERROR(__xludf.DUMMYFUNCTION("""COMPUTED_VALUE"""),12.0)</f>
        <v>12</v>
      </c>
      <c r="B13" s="7" t="str">
        <f>IFERROR(__xludf.DUMMYFUNCTION("""COMPUTED_VALUE"""),"FIERRO VILLANOVA SERGIO ANDRES")</f>
        <v>FIERRO VILLANOVA SERGIO ANDRES</v>
      </c>
      <c r="C13" s="6">
        <f>IFERROR(__xludf.DUMMYFUNCTION("""COMPUTED_VALUE"""),0.4)</f>
        <v>0.4</v>
      </c>
      <c r="D13" s="6"/>
      <c r="E13" s="6"/>
      <c r="F13" s="6"/>
      <c r="G13" s="6"/>
      <c r="H13" s="6"/>
      <c r="I13" s="6"/>
      <c r="J13" s="6">
        <f>IFERROR(__xludf.DUMMYFUNCTION("""COMPUTED_VALUE"""),3.67)</f>
        <v>3.67</v>
      </c>
      <c r="K13" s="6">
        <f>IFERROR(__xludf.DUMMYFUNCTION("""COMPUTED_VALUE"""),4.58)</f>
        <v>4.58</v>
      </c>
      <c r="L13" s="6"/>
      <c r="M13" s="6"/>
      <c r="N13" s="6"/>
      <c r="O13" s="6"/>
      <c r="P13" s="6"/>
      <c r="Q13" s="6">
        <f>IFERROR(__xludf.DUMMYFUNCTION("""COMPUTED_VALUE"""),2262973.0)</f>
        <v>2262973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6">
        <f>IFERROR(__xludf.DUMMYFUNCTION("""COMPUTED_VALUE"""),13.0)</f>
        <v>13</v>
      </c>
      <c r="B14" s="7" t="str">
        <f>IFERROR(__xludf.DUMMYFUNCTION("""COMPUTED_VALUE"""),"FORERO ROZO ANA VALENTINA")</f>
        <v>FORERO ROZO ANA VALENTINA</v>
      </c>
      <c r="C14" s="6">
        <f>IFERROR(__xludf.DUMMYFUNCTION("""COMPUTED_VALUE"""),0.4)</f>
        <v>0.4</v>
      </c>
      <c r="D14" s="6"/>
      <c r="E14" s="6"/>
      <c r="F14" s="6"/>
      <c r="G14" s="6"/>
      <c r="H14" s="6"/>
      <c r="I14" s="6"/>
      <c r="J14" s="6">
        <f>IFERROR(__xludf.DUMMYFUNCTION("""COMPUTED_VALUE"""),4.33)</f>
        <v>4.33</v>
      </c>
      <c r="K14" s="6">
        <f>IFERROR(__xludf.DUMMYFUNCTION("""COMPUTED_VALUE"""),4.33)</f>
        <v>4.33</v>
      </c>
      <c r="L14" s="6"/>
      <c r="M14" s="6"/>
      <c r="N14" s="6"/>
      <c r="O14" s="6"/>
      <c r="P14" s="6"/>
      <c r="Q14" s="6">
        <f>IFERROR(__xludf.DUMMYFUNCTION("""COMPUTED_VALUE"""),2262338.0)</f>
        <v>2262338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6">
        <f>IFERROR(__xludf.DUMMYFUNCTION("""COMPUTED_VALUE"""),14.0)</f>
        <v>14</v>
      </c>
      <c r="B15" s="7" t="str">
        <f>IFERROR(__xludf.DUMMYFUNCTION("""COMPUTED_VALUE"""),"GALLO RODRIGUEZ DANNA VALENTINA")</f>
        <v>GALLO RODRIGUEZ DANNA VALENTINA</v>
      </c>
      <c r="C15" s="6">
        <f>IFERROR(__xludf.DUMMYFUNCTION("""COMPUTED_VALUE"""),0.4)</f>
        <v>0.4</v>
      </c>
      <c r="D15" s="6"/>
      <c r="E15" s="6"/>
      <c r="F15" s="6"/>
      <c r="G15" s="6"/>
      <c r="H15" s="6"/>
      <c r="I15" s="6"/>
      <c r="J15" s="6">
        <f>IFERROR(__xludf.DUMMYFUNCTION("""COMPUTED_VALUE"""),4.67)</f>
        <v>4.67</v>
      </c>
      <c r="K15" s="6">
        <f>IFERROR(__xludf.DUMMYFUNCTION("""COMPUTED_VALUE"""),3.42)</f>
        <v>3.42</v>
      </c>
      <c r="L15" s="6"/>
      <c r="M15" s="6"/>
      <c r="N15" s="6"/>
      <c r="O15" s="6"/>
      <c r="P15" s="6"/>
      <c r="Q15" s="6">
        <f>IFERROR(__xludf.DUMMYFUNCTION("""COMPUTED_VALUE"""),2262977.0)</f>
        <v>2262977</v>
      </c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6">
        <f>IFERROR(__xludf.DUMMYFUNCTION("""COMPUTED_VALUE"""),15.0)</f>
        <v>15</v>
      </c>
      <c r="B16" s="7" t="str">
        <f>IFERROR(__xludf.DUMMYFUNCTION("""COMPUTED_VALUE"""),"HEREDIA RODRIGUEZ YEFERSON FERNANDO")</f>
        <v>HEREDIA RODRIGUEZ YEFERSON FERNANDO</v>
      </c>
      <c r="C16" s="6">
        <f>IFERROR(__xludf.DUMMYFUNCTION("""COMPUTED_VALUE"""),0.2)</f>
        <v>0.2</v>
      </c>
      <c r="D16" s="6"/>
      <c r="E16" s="6"/>
      <c r="F16" s="6"/>
      <c r="G16" s="6"/>
      <c r="H16" s="6"/>
      <c r="I16" s="6"/>
      <c r="J16" s="6">
        <f>IFERROR(__xludf.DUMMYFUNCTION("""COMPUTED_VALUE"""),0.0)</f>
        <v>0</v>
      </c>
      <c r="K16" s="6">
        <f>IFERROR(__xludf.DUMMYFUNCTION("""COMPUTED_VALUE"""),4.44)</f>
        <v>4.44</v>
      </c>
      <c r="L16" s="6"/>
      <c r="M16" s="6"/>
      <c r="N16" s="6"/>
      <c r="O16" s="6"/>
      <c r="P16" s="6"/>
      <c r="Q16" s="6">
        <f>IFERROR(__xludf.DUMMYFUNCTION("""COMPUTED_VALUE"""),2262574.0)</f>
        <v>2262574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6">
        <f>IFERROR(__xludf.DUMMYFUNCTION("""COMPUTED_VALUE"""),16.0)</f>
        <v>16</v>
      </c>
      <c r="B17" s="7" t="str">
        <f>IFERROR(__xludf.DUMMYFUNCTION("""COMPUTED_VALUE"""),"HERRERA HERNANDEZ NATALIE VALERIA")</f>
        <v>HERRERA HERNANDEZ NATALIE VALERIA</v>
      </c>
      <c r="C17" s="6">
        <f>IFERROR(__xludf.DUMMYFUNCTION("""COMPUTED_VALUE"""),0.4)</f>
        <v>0.4</v>
      </c>
      <c r="D17" s="6"/>
      <c r="E17" s="6"/>
      <c r="F17" s="6"/>
      <c r="G17" s="6"/>
      <c r="H17" s="6"/>
      <c r="I17" s="6"/>
      <c r="J17" s="6">
        <f>IFERROR(__xludf.DUMMYFUNCTION("""COMPUTED_VALUE"""),3.67)</f>
        <v>3.67</v>
      </c>
      <c r="K17" s="6">
        <f>IFERROR(__xludf.DUMMYFUNCTION("""COMPUTED_VALUE"""),3.75)</f>
        <v>3.75</v>
      </c>
      <c r="L17" s="6"/>
      <c r="M17" s="6"/>
      <c r="N17" s="6"/>
      <c r="O17" s="6"/>
      <c r="P17" s="6"/>
      <c r="Q17" s="6">
        <f>IFERROR(__xludf.DUMMYFUNCTION("""COMPUTED_VALUE"""),2262343.0)</f>
        <v>2262343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6">
        <f>IFERROR(__xludf.DUMMYFUNCTION("""COMPUTED_VALUE"""),17.0)</f>
        <v>17</v>
      </c>
      <c r="B18" s="7" t="str">
        <f>IFERROR(__xludf.DUMMYFUNCTION("""COMPUTED_VALUE"""),"HOYOS BELLO SHEYLER TATIANA")</f>
        <v>HOYOS BELLO SHEYLER TATIANA</v>
      </c>
      <c r="C18" s="6">
        <f>IFERROR(__xludf.DUMMYFUNCTION("""COMPUTED_VALUE"""),0.2)</f>
        <v>0.2</v>
      </c>
      <c r="D18" s="6"/>
      <c r="E18" s="6"/>
      <c r="F18" s="6"/>
      <c r="G18" s="6"/>
      <c r="H18" s="6"/>
      <c r="I18" s="6"/>
      <c r="J18" s="6">
        <f>IFERROR(__xludf.DUMMYFUNCTION("""COMPUTED_VALUE"""),0.0)</f>
        <v>0</v>
      </c>
      <c r="K18" s="6">
        <f>IFERROR(__xludf.DUMMYFUNCTION("""COMPUTED_VALUE"""),3.92)</f>
        <v>3.92</v>
      </c>
      <c r="L18" s="6"/>
      <c r="M18" s="6"/>
      <c r="N18" s="6"/>
      <c r="O18" s="6"/>
      <c r="P18" s="6"/>
      <c r="Q18" s="6">
        <f>IFERROR(__xludf.DUMMYFUNCTION("""COMPUTED_VALUE"""),2262867.0)</f>
        <v>2262867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6">
        <f>IFERROR(__xludf.DUMMYFUNCTION("""COMPUTED_VALUE"""),18.0)</f>
        <v>18</v>
      </c>
      <c r="B19" s="7" t="str">
        <f>IFERROR(__xludf.DUMMYFUNCTION("""COMPUTED_VALUE"""),"LOPEZ QUIROGA ANGELA")</f>
        <v>LOPEZ QUIROGA ANGELA</v>
      </c>
      <c r="C19" s="6">
        <f>IFERROR(__xludf.DUMMYFUNCTION("""COMPUTED_VALUE"""),0.5)</f>
        <v>0.5</v>
      </c>
      <c r="D19" s="6"/>
      <c r="E19" s="6"/>
      <c r="F19" s="6"/>
      <c r="G19" s="6"/>
      <c r="H19" s="6"/>
      <c r="I19" s="6"/>
      <c r="J19" s="6">
        <f>IFERROR(__xludf.DUMMYFUNCTION("""COMPUTED_VALUE"""),4.83)</f>
        <v>4.83</v>
      </c>
      <c r="K19" s="6">
        <f>IFERROR(__xludf.DUMMYFUNCTION("""COMPUTED_VALUE"""),4.75)</f>
        <v>4.75</v>
      </c>
      <c r="L19" s="6"/>
      <c r="M19" s="6"/>
      <c r="N19" s="6"/>
      <c r="O19" s="6"/>
      <c r="P19" s="6"/>
      <c r="Q19" s="6">
        <f>IFERROR(__xludf.DUMMYFUNCTION("""COMPUTED_VALUE"""),2262650.0)</f>
        <v>2262650</v>
      </c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6">
        <f>IFERROR(__xludf.DUMMYFUNCTION("""COMPUTED_VALUE"""),19.0)</f>
        <v>19</v>
      </c>
      <c r="B20" s="7" t="str">
        <f>IFERROR(__xludf.DUMMYFUNCTION("""COMPUTED_VALUE"""),"MORENO MORALES JULIETH DANIELA")</f>
        <v>MORENO MORALES JULIETH DANIELA</v>
      </c>
      <c r="C20" s="6">
        <f>IFERROR(__xludf.DUMMYFUNCTION("""COMPUTED_VALUE"""),0.0)</f>
        <v>0</v>
      </c>
      <c r="D20" s="6"/>
      <c r="E20" s="6"/>
      <c r="F20" s="6"/>
      <c r="G20" s="6"/>
      <c r="H20" s="6"/>
      <c r="I20" s="6"/>
      <c r="J20" s="6">
        <f>IFERROR(__xludf.DUMMYFUNCTION("""COMPUTED_VALUE"""),0.0)</f>
        <v>0</v>
      </c>
      <c r="K20" s="6">
        <f>IFERROR(__xludf.DUMMYFUNCTION("""COMPUTED_VALUE"""),0.0)</f>
        <v>0</v>
      </c>
      <c r="L20" s="6"/>
      <c r="M20" s="6"/>
      <c r="N20" s="6"/>
      <c r="O20" s="6"/>
      <c r="P20" s="6"/>
      <c r="Q20" s="6">
        <f>IFERROR(__xludf.DUMMYFUNCTION("""COMPUTED_VALUE"""),2262876.0)</f>
        <v>2262876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6">
        <f>IFERROR(__xludf.DUMMYFUNCTION("""COMPUTED_VALUE"""),20.0)</f>
        <v>20</v>
      </c>
      <c r="B21" s="7" t="str">
        <f>IFERROR(__xludf.DUMMYFUNCTION("""COMPUTED_VALUE"""),"MUÑOZ PORTILLA SARA VALENTINA")</f>
        <v>MUÑOZ PORTILLA SARA VALENTINA</v>
      </c>
      <c r="C21" s="6">
        <f>IFERROR(__xludf.DUMMYFUNCTION("""COMPUTED_VALUE"""),0.5)</f>
        <v>0.5</v>
      </c>
      <c r="D21" s="6"/>
      <c r="E21" s="6"/>
      <c r="F21" s="6"/>
      <c r="G21" s="6"/>
      <c r="H21" s="6"/>
      <c r="I21" s="6"/>
      <c r="J21" s="6">
        <f>IFERROR(__xludf.DUMMYFUNCTION("""COMPUTED_VALUE"""),5.0)</f>
        <v>5</v>
      </c>
      <c r="K21" s="6">
        <f>IFERROR(__xludf.DUMMYFUNCTION("""COMPUTED_VALUE"""),4.42)</f>
        <v>4.42</v>
      </c>
      <c r="L21" s="6"/>
      <c r="M21" s="6"/>
      <c r="N21" s="6"/>
      <c r="O21" s="6"/>
      <c r="P21" s="6"/>
      <c r="Q21" s="6">
        <f>IFERROR(__xludf.DUMMYFUNCTION("""COMPUTED_VALUE"""),2262361.0)</f>
        <v>2262361</v>
      </c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6">
        <f>IFERROR(__xludf.DUMMYFUNCTION("""COMPUTED_VALUE"""),21.0)</f>
        <v>21</v>
      </c>
      <c r="B22" s="7" t="str">
        <f>IFERROR(__xludf.DUMMYFUNCTION("""COMPUTED_VALUE"""),"ORTIZ ESCALANTE JUAN DAVID")</f>
        <v>ORTIZ ESCALANTE JUAN DAVID</v>
      </c>
      <c r="C22" s="6">
        <f>IFERROR(__xludf.DUMMYFUNCTION("""COMPUTED_VALUE"""),0.4)</f>
        <v>0.4</v>
      </c>
      <c r="D22" s="6"/>
      <c r="E22" s="6"/>
      <c r="F22" s="6"/>
      <c r="G22" s="6"/>
      <c r="H22" s="6"/>
      <c r="I22" s="6"/>
      <c r="J22" s="6">
        <f>IFERROR(__xludf.DUMMYFUNCTION("""COMPUTED_VALUE"""),3.33)</f>
        <v>3.33</v>
      </c>
      <c r="K22" s="6">
        <f>IFERROR(__xludf.DUMMYFUNCTION("""COMPUTED_VALUE"""),3.92)</f>
        <v>3.92</v>
      </c>
      <c r="L22" s="6"/>
      <c r="M22" s="6"/>
      <c r="N22" s="6"/>
      <c r="O22" s="6"/>
      <c r="P22" s="6"/>
      <c r="Q22" s="6">
        <f>IFERROR(__xludf.DUMMYFUNCTION("""COMPUTED_VALUE"""),2262613.0)</f>
        <v>2262613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6">
        <f>IFERROR(__xludf.DUMMYFUNCTION("""COMPUTED_VALUE"""),22.0)</f>
        <v>22</v>
      </c>
      <c r="B23" s="7" t="str">
        <f>IFERROR(__xludf.DUMMYFUNCTION("""COMPUTED_VALUE"""),"OTERO CARDENAS JUAN DAVID")</f>
        <v>OTERO CARDENAS JUAN DAVID</v>
      </c>
      <c r="C23" s="6">
        <f>IFERROR(__xludf.DUMMYFUNCTION("""COMPUTED_VALUE"""),0.5)</f>
        <v>0.5</v>
      </c>
      <c r="D23" s="6"/>
      <c r="E23" s="6"/>
      <c r="F23" s="6"/>
      <c r="G23" s="6"/>
      <c r="H23" s="6"/>
      <c r="I23" s="6"/>
      <c r="J23" s="6">
        <f>IFERROR(__xludf.DUMMYFUNCTION("""COMPUTED_VALUE"""),5.0)</f>
        <v>5</v>
      </c>
      <c r="K23" s="6">
        <f>IFERROR(__xludf.DUMMYFUNCTION("""COMPUTED_VALUE"""),4.92)</f>
        <v>4.92</v>
      </c>
      <c r="L23" s="6"/>
      <c r="M23" s="6"/>
      <c r="N23" s="6"/>
      <c r="O23" s="6"/>
      <c r="P23" s="6"/>
      <c r="Q23" s="6">
        <f>IFERROR(__xludf.DUMMYFUNCTION("""COMPUTED_VALUE"""),2262932.0)</f>
        <v>2262932</v>
      </c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6">
        <f>IFERROR(__xludf.DUMMYFUNCTION("""COMPUTED_VALUE"""),23.0)</f>
        <v>23</v>
      </c>
      <c r="B24" s="7" t="str">
        <f>IFERROR(__xludf.DUMMYFUNCTION("""COMPUTED_VALUE"""),"OVALLE MANJARRES JEISSY VALENTINA")</f>
        <v>OVALLE MANJARRES JEISSY VALENTINA</v>
      </c>
      <c r="C24" s="6">
        <f>IFERROR(__xludf.DUMMYFUNCTION("""COMPUTED_VALUE"""),0.5)</f>
        <v>0.5</v>
      </c>
      <c r="D24" s="6"/>
      <c r="E24" s="6"/>
      <c r="F24" s="6"/>
      <c r="G24" s="6"/>
      <c r="H24" s="6"/>
      <c r="I24" s="6"/>
      <c r="J24" s="6">
        <f>IFERROR(__xludf.DUMMYFUNCTION("""COMPUTED_VALUE"""),5.0)</f>
        <v>5</v>
      </c>
      <c r="K24" s="6">
        <f>IFERROR(__xludf.DUMMYFUNCTION("""COMPUTED_VALUE"""),4.42)</f>
        <v>4.42</v>
      </c>
      <c r="L24" s="6"/>
      <c r="M24" s="6"/>
      <c r="N24" s="6"/>
      <c r="O24" s="6"/>
      <c r="P24" s="6"/>
      <c r="Q24" s="6">
        <f>IFERROR(__xludf.DUMMYFUNCTION("""COMPUTED_VALUE"""),2262645.0)</f>
        <v>2262645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6">
        <f>IFERROR(__xludf.DUMMYFUNCTION("""COMPUTED_VALUE"""),24.0)</f>
        <v>24</v>
      </c>
      <c r="B25" s="7" t="str">
        <f>IFERROR(__xludf.DUMMYFUNCTION("""COMPUTED_VALUE"""),"PADILLA CASTRO ANDRES DAVID")</f>
        <v>PADILLA CASTRO ANDRES DAVID</v>
      </c>
      <c r="C25" s="6">
        <f>IFERROR(__xludf.DUMMYFUNCTION("""COMPUTED_VALUE"""),0.4)</f>
        <v>0.4</v>
      </c>
      <c r="D25" s="6"/>
      <c r="E25" s="6"/>
      <c r="F25" s="6"/>
      <c r="G25" s="6"/>
      <c r="H25" s="6"/>
      <c r="I25" s="6"/>
      <c r="J25" s="6">
        <f>IFERROR(__xludf.DUMMYFUNCTION("""COMPUTED_VALUE"""),4.17)</f>
        <v>4.17</v>
      </c>
      <c r="K25" s="6">
        <f>IFERROR(__xludf.DUMMYFUNCTION("""COMPUTED_VALUE"""),4.67)</f>
        <v>4.67</v>
      </c>
      <c r="L25" s="6"/>
      <c r="M25" s="6"/>
      <c r="N25" s="6"/>
      <c r="O25" s="6"/>
      <c r="P25" s="6"/>
      <c r="Q25" s="6">
        <f>IFERROR(__xludf.DUMMYFUNCTION("""COMPUTED_VALUE"""),2262884.0)</f>
        <v>2262884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6">
        <f>IFERROR(__xludf.DUMMYFUNCTION("""COMPUTED_VALUE"""),25.0)</f>
        <v>25</v>
      </c>
      <c r="B26" s="7" t="str">
        <f>IFERROR(__xludf.DUMMYFUNCTION("""COMPUTED_VALUE"""),"PARRA BARON JUAN DAVID")</f>
        <v>PARRA BARON JUAN DAVID</v>
      </c>
      <c r="C26" s="6">
        <f>IFERROR(__xludf.DUMMYFUNCTION("""COMPUTED_VALUE"""),0.4)</f>
        <v>0.4</v>
      </c>
      <c r="D26" s="6"/>
      <c r="E26" s="6"/>
      <c r="F26" s="6"/>
      <c r="G26" s="6"/>
      <c r="H26" s="6"/>
      <c r="I26" s="6"/>
      <c r="J26" s="6">
        <f>IFERROR(__xludf.DUMMYFUNCTION("""COMPUTED_VALUE"""),4.67)</f>
        <v>4.67</v>
      </c>
      <c r="K26" s="6">
        <f>IFERROR(__xludf.DUMMYFUNCTION("""COMPUTED_VALUE"""),4.25)</f>
        <v>4.25</v>
      </c>
      <c r="L26" s="6"/>
      <c r="M26" s="6"/>
      <c r="N26" s="6"/>
      <c r="O26" s="6"/>
      <c r="P26" s="6"/>
      <c r="Q26" s="6">
        <f>IFERROR(__xludf.DUMMYFUNCTION("""COMPUTED_VALUE"""),2250720.0)</f>
        <v>2250720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6">
        <f>IFERROR(__xludf.DUMMYFUNCTION("""COMPUTED_VALUE"""),26.0)</f>
        <v>26</v>
      </c>
      <c r="B27" s="7" t="str">
        <f>IFERROR(__xludf.DUMMYFUNCTION("""COMPUTED_VALUE"""),"PEREZ MONCADA LUIS ALEJANDRO")</f>
        <v>PEREZ MONCADA LUIS ALEJANDRO</v>
      </c>
      <c r="C27" s="6">
        <f>IFERROR(__xludf.DUMMYFUNCTION("""COMPUTED_VALUE"""),0.5)</f>
        <v>0.5</v>
      </c>
      <c r="D27" s="6"/>
      <c r="E27" s="6"/>
      <c r="F27" s="6"/>
      <c r="G27" s="6"/>
      <c r="H27" s="6"/>
      <c r="I27" s="6"/>
      <c r="J27" s="6">
        <f>IFERROR(__xludf.DUMMYFUNCTION("""COMPUTED_VALUE"""),4.67)</f>
        <v>4.67</v>
      </c>
      <c r="K27" s="6">
        <f>IFERROR(__xludf.DUMMYFUNCTION("""COMPUTED_VALUE"""),4.83)</f>
        <v>4.83</v>
      </c>
      <c r="L27" s="6"/>
      <c r="M27" s="6"/>
      <c r="N27" s="6"/>
      <c r="O27" s="6"/>
      <c r="P27" s="6"/>
      <c r="Q27" s="6">
        <f>IFERROR(__xludf.DUMMYFUNCTION("""COMPUTED_VALUE"""),2262794.0)</f>
        <v>2262794</v>
      </c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6">
        <f>IFERROR(__xludf.DUMMYFUNCTION("""COMPUTED_VALUE"""),27.0)</f>
        <v>27</v>
      </c>
      <c r="B28" s="7" t="str">
        <f>IFERROR(__xludf.DUMMYFUNCTION("""COMPUTED_VALUE"""),"REYES CASTELLANOS DANIELA")</f>
        <v>REYES CASTELLANOS DANIELA</v>
      </c>
      <c r="C28" s="6">
        <f>IFERROR(__xludf.DUMMYFUNCTION("""COMPUTED_VALUE"""),0.5)</f>
        <v>0.5</v>
      </c>
      <c r="D28" s="6"/>
      <c r="E28" s="6"/>
      <c r="F28" s="6"/>
      <c r="G28" s="6"/>
      <c r="H28" s="6"/>
      <c r="I28" s="6"/>
      <c r="J28" s="6">
        <f>IFERROR(__xludf.DUMMYFUNCTION("""COMPUTED_VALUE"""),4.33)</f>
        <v>4.33</v>
      </c>
      <c r="K28" s="6">
        <f>IFERROR(__xludf.DUMMYFUNCTION("""COMPUTED_VALUE"""),4.67)</f>
        <v>4.67</v>
      </c>
      <c r="L28" s="6"/>
      <c r="M28" s="6"/>
      <c r="N28" s="6"/>
      <c r="O28" s="6"/>
      <c r="P28" s="6"/>
      <c r="Q28" s="6">
        <f>IFERROR(__xludf.DUMMYFUNCTION("""COMPUTED_VALUE"""),2262621.0)</f>
        <v>2262621</v>
      </c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6">
        <f>IFERROR(__xludf.DUMMYFUNCTION("""COMPUTED_VALUE"""),28.0)</f>
        <v>28</v>
      </c>
      <c r="B29" s="7" t="str">
        <f>IFERROR(__xludf.DUMMYFUNCTION("""COMPUTED_VALUE"""),"ROPERO MOJICA CRISTIAN ANDRES")</f>
        <v>ROPERO MOJICA CRISTIAN ANDRES</v>
      </c>
      <c r="C29" s="6">
        <f>IFERROR(__xludf.DUMMYFUNCTION("""COMPUTED_VALUE"""),0.5)</f>
        <v>0.5</v>
      </c>
      <c r="D29" s="6"/>
      <c r="E29" s="6"/>
      <c r="F29" s="6"/>
      <c r="G29" s="6"/>
      <c r="H29" s="6"/>
      <c r="I29" s="6"/>
      <c r="J29" s="6">
        <f>IFERROR(__xludf.DUMMYFUNCTION("""COMPUTED_VALUE"""),5.0)</f>
        <v>5</v>
      </c>
      <c r="K29" s="6">
        <f>IFERROR(__xludf.DUMMYFUNCTION("""COMPUTED_VALUE"""),4.08)</f>
        <v>4.08</v>
      </c>
      <c r="L29" s="6"/>
      <c r="M29" s="6"/>
      <c r="N29" s="6"/>
      <c r="O29" s="6"/>
      <c r="P29" s="6"/>
      <c r="Q29" s="6">
        <f>IFERROR(__xludf.DUMMYFUNCTION("""COMPUTED_VALUE"""),2262862.0)</f>
        <v>2262862</v>
      </c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6">
        <f>IFERROR(__xludf.DUMMYFUNCTION("""COMPUTED_VALUE"""),29.0)</f>
        <v>29</v>
      </c>
      <c r="B30" s="7" t="str">
        <f>IFERROR(__xludf.DUMMYFUNCTION("""COMPUTED_VALUE"""),"SANCHEZ BERMUDEZ GABRIELLA")</f>
        <v>SANCHEZ BERMUDEZ GABRIELLA</v>
      </c>
      <c r="C30" s="6">
        <f>IFERROR(__xludf.DUMMYFUNCTION("""COMPUTED_VALUE"""),0.4)</f>
        <v>0.4</v>
      </c>
      <c r="D30" s="6"/>
      <c r="E30" s="6"/>
      <c r="F30" s="6"/>
      <c r="G30" s="6"/>
      <c r="H30" s="6"/>
      <c r="I30" s="6"/>
      <c r="J30" s="6">
        <f>IFERROR(__xludf.DUMMYFUNCTION("""COMPUTED_VALUE"""),4.0)</f>
        <v>4</v>
      </c>
      <c r="K30" s="6">
        <f>IFERROR(__xludf.DUMMYFUNCTION("""COMPUTED_VALUE"""),4.72)</f>
        <v>4.72</v>
      </c>
      <c r="L30" s="6"/>
      <c r="M30" s="6"/>
      <c r="N30" s="6"/>
      <c r="O30" s="6"/>
      <c r="P30" s="6"/>
      <c r="Q30" s="6">
        <f>IFERROR(__xludf.DUMMYFUNCTION("""COMPUTED_VALUE"""),2262461.0)</f>
        <v>2262461</v>
      </c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6">
        <f>IFERROR(__xludf.DUMMYFUNCTION("""COMPUTED_VALUE"""),30.0)</f>
        <v>30</v>
      </c>
      <c r="B31" s="7" t="str">
        <f>IFERROR(__xludf.DUMMYFUNCTION("""COMPUTED_VALUE"""),"SIERRA PINTO DANIELA")</f>
        <v>SIERRA PINTO DANIELA</v>
      </c>
      <c r="C31" s="6">
        <f>IFERROR(__xludf.DUMMYFUNCTION("""COMPUTED_VALUE"""),0.5)</f>
        <v>0.5</v>
      </c>
      <c r="D31" s="6"/>
      <c r="E31" s="6"/>
      <c r="F31" s="6"/>
      <c r="G31" s="6"/>
      <c r="H31" s="6"/>
      <c r="I31" s="6"/>
      <c r="J31" s="6">
        <f>IFERROR(__xludf.DUMMYFUNCTION("""COMPUTED_VALUE"""),5.0)</f>
        <v>5</v>
      </c>
      <c r="K31" s="6">
        <f>IFERROR(__xludf.DUMMYFUNCTION("""COMPUTED_VALUE"""),4.42)</f>
        <v>4.42</v>
      </c>
      <c r="L31" s="6"/>
      <c r="M31" s="6"/>
      <c r="N31" s="6"/>
      <c r="O31" s="6"/>
      <c r="P31" s="6"/>
      <c r="Q31" s="6">
        <f>IFERROR(__xludf.DUMMYFUNCTION("""COMPUTED_VALUE"""),2262450.0)</f>
        <v>2262450</v>
      </c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6">
        <f>IFERROR(__xludf.DUMMYFUNCTION("""COMPUTED_VALUE"""),31.0)</f>
        <v>31</v>
      </c>
      <c r="B32" s="7" t="str">
        <f>IFERROR(__xludf.DUMMYFUNCTION("""COMPUTED_VALUE"""),"SILVA RODRIGUEZ ANGIE MARIANA")</f>
        <v>SILVA RODRIGUEZ ANGIE MARIANA</v>
      </c>
      <c r="C32" s="6">
        <f>IFERROR(__xludf.DUMMYFUNCTION("""COMPUTED_VALUE"""),0.4)</f>
        <v>0.4</v>
      </c>
      <c r="D32" s="6"/>
      <c r="E32" s="6"/>
      <c r="F32" s="6"/>
      <c r="G32" s="6"/>
      <c r="H32" s="6"/>
      <c r="I32" s="6"/>
      <c r="J32" s="6">
        <f>IFERROR(__xludf.DUMMYFUNCTION("""COMPUTED_VALUE"""),3.83)</f>
        <v>3.83</v>
      </c>
      <c r="K32" s="6">
        <f>IFERROR(__xludf.DUMMYFUNCTION("""COMPUTED_VALUE"""),3.42)</f>
        <v>3.42</v>
      </c>
      <c r="L32" s="6"/>
      <c r="M32" s="6"/>
      <c r="N32" s="6"/>
      <c r="O32" s="6"/>
      <c r="P32" s="6"/>
      <c r="Q32" s="6">
        <f>IFERROR(__xludf.DUMMYFUNCTION("""COMPUTED_VALUE"""),2262523.0)</f>
        <v>2262523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6">
        <f>IFERROR(__xludf.DUMMYFUNCTION("""COMPUTED_VALUE"""),32.0)</f>
        <v>32</v>
      </c>
      <c r="B33" s="7" t="str">
        <f>IFERROR(__xludf.DUMMYFUNCTION("""COMPUTED_VALUE"""),"TEJADA YATE SOFIA")</f>
        <v>TEJADA YATE SOFIA</v>
      </c>
      <c r="C33" s="6">
        <f>IFERROR(__xludf.DUMMYFUNCTION("""COMPUTED_VALUE"""),0.5)</f>
        <v>0.5</v>
      </c>
      <c r="D33" s="6"/>
      <c r="E33" s="6"/>
      <c r="F33" s="6"/>
      <c r="G33" s="6"/>
      <c r="H33" s="6"/>
      <c r="I33" s="6"/>
      <c r="J33" s="6">
        <f>IFERROR(__xludf.DUMMYFUNCTION("""COMPUTED_VALUE"""),5.0)</f>
        <v>5</v>
      </c>
      <c r="K33" s="6">
        <f>IFERROR(__xludf.DUMMYFUNCTION("""COMPUTED_VALUE"""),5.0)</f>
        <v>5</v>
      </c>
      <c r="L33" s="6"/>
      <c r="M33" s="6"/>
      <c r="N33" s="6"/>
      <c r="O33" s="6"/>
      <c r="P33" s="6"/>
      <c r="Q33" s="6">
        <f>IFERROR(__xludf.DUMMYFUNCTION("""COMPUTED_VALUE"""),2262533.0)</f>
        <v>2262533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6">
        <f>IFERROR(__xludf.DUMMYFUNCTION("""COMPUTED_VALUE"""),33.0)</f>
        <v>33</v>
      </c>
      <c r="B34" s="7" t="str">
        <f>IFERROR(__xludf.DUMMYFUNCTION("""COMPUTED_VALUE"""),"USUGA ESCANDON LUIS MANUEL")</f>
        <v>USUGA ESCANDON LUIS MANUEL</v>
      </c>
      <c r="C34" s="6">
        <f>IFERROR(__xludf.DUMMYFUNCTION("""COMPUTED_VALUE"""),0.4)</f>
        <v>0.4</v>
      </c>
      <c r="D34" s="6"/>
      <c r="E34" s="6"/>
      <c r="F34" s="6"/>
      <c r="G34" s="6"/>
      <c r="H34" s="6"/>
      <c r="I34" s="6"/>
      <c r="J34" s="6">
        <f>IFERROR(__xludf.DUMMYFUNCTION("""COMPUTED_VALUE"""),4.0)</f>
        <v>4</v>
      </c>
      <c r="K34" s="6">
        <f>IFERROR(__xludf.DUMMYFUNCTION("""COMPUTED_VALUE"""),3.83)</f>
        <v>3.83</v>
      </c>
      <c r="L34" s="6"/>
      <c r="M34" s="6"/>
      <c r="N34" s="6"/>
      <c r="O34" s="6"/>
      <c r="P34" s="6"/>
      <c r="Q34" s="6">
        <f>IFERROR(__xludf.DUMMYFUNCTION("""COMPUTED_VALUE"""),2262441.0)</f>
        <v>2262441</v>
      </c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6">
        <f>IFERROR(__xludf.DUMMYFUNCTION("""COMPUTED_VALUE"""),34.0)</f>
        <v>34</v>
      </c>
      <c r="B35" s="7" t="str">
        <f>IFERROR(__xludf.DUMMYFUNCTION("""COMPUTED_VALUE"""),"VESGA RODRIGUEZ NICOLE DAYANNA")</f>
        <v>VESGA RODRIGUEZ NICOLE DAYANNA</v>
      </c>
      <c r="C35" s="6">
        <f>IFERROR(__xludf.DUMMYFUNCTION("""COMPUTED_VALUE"""),0.2)</f>
        <v>0.2</v>
      </c>
      <c r="D35" s="6"/>
      <c r="E35" s="6"/>
      <c r="F35" s="6"/>
      <c r="G35" s="6"/>
      <c r="H35" s="6"/>
      <c r="I35" s="6"/>
      <c r="J35" s="6">
        <f>IFERROR(__xludf.DUMMYFUNCTION("""COMPUTED_VALUE"""),0.0)</f>
        <v>0</v>
      </c>
      <c r="K35" s="6">
        <f>IFERROR(__xludf.DUMMYFUNCTION("""COMPUTED_VALUE"""),4.67)</f>
        <v>4.67</v>
      </c>
      <c r="L35" s="6"/>
      <c r="M35" s="6"/>
      <c r="N35" s="6"/>
      <c r="O35" s="6"/>
      <c r="P35" s="6"/>
      <c r="Q35" s="6">
        <f>IFERROR(__xludf.DUMMYFUNCTION("""COMPUTED_VALUE"""),2262875.0)</f>
        <v>2262875</v>
      </c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6">
        <f>IFERROR(__xludf.DUMMYFUNCTION("""COMPUTED_VALUE"""),35.0)</f>
        <v>35</v>
      </c>
      <c r="B36" s="7" t="str">
        <f>IFERROR(__xludf.DUMMYFUNCTION("""COMPUTED_VALUE"""),"VILLAMIZAR SANCHEZ SOFIA ISABELLA")</f>
        <v>VILLAMIZAR SANCHEZ SOFIA ISABELLA</v>
      </c>
      <c r="C36" s="6">
        <f>IFERROR(__xludf.DUMMYFUNCTION("""COMPUTED_VALUE"""),0.5)</f>
        <v>0.5</v>
      </c>
      <c r="D36" s="6"/>
      <c r="E36" s="6"/>
      <c r="F36" s="6"/>
      <c r="G36" s="6"/>
      <c r="H36" s="6"/>
      <c r="I36" s="6"/>
      <c r="J36" s="6">
        <f>IFERROR(__xludf.DUMMYFUNCTION("""COMPUTED_VALUE"""),4.67)</f>
        <v>4.67</v>
      </c>
      <c r="K36" s="6">
        <f>IFERROR(__xludf.DUMMYFUNCTION("""COMPUTED_VALUE"""),4.75)</f>
        <v>4.75</v>
      </c>
      <c r="L36" s="6"/>
      <c r="M36" s="6"/>
      <c r="N36" s="6"/>
      <c r="O36" s="6"/>
      <c r="P36" s="6"/>
      <c r="Q36" s="6">
        <f>IFERROR(__xludf.DUMMYFUNCTION("""COMPUTED_VALUE"""),2262415.0)</f>
        <v>2262415</v>
      </c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6.88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4" t="str">
        <f>IFERROR(__xludf.DUMMYFUNCTION("""COMPUTED_VALUE"""),"TUTOR")</f>
        <v>TUTOR</v>
      </c>
      <c r="I1" s="4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/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6">
        <f>IFERROR(__xludf.DUMMYFUNCTION("""COMPUTED_VALUE"""),1.0)</f>
        <v>1</v>
      </c>
      <c r="B2" s="7" t="str">
        <f>IFERROR(__xludf.DUMMYFUNCTION("""COMPUTED_VALUE"""),"AFANADOR DIAZ YEFERSON STEEVEN")</f>
        <v>AFANADOR DIAZ YEFERSON STEEVEN</v>
      </c>
      <c r="C2" s="6">
        <f>IFERROR(__xludf.DUMMYFUNCTION("""COMPUTED_VALUE"""),5.0)</f>
        <v>5</v>
      </c>
      <c r="D2" s="6"/>
      <c r="E2" s="6"/>
      <c r="F2" s="6"/>
      <c r="G2" s="6"/>
      <c r="H2" s="6"/>
      <c r="I2" s="6">
        <f>IFERROR(__xludf.DUMMYFUNCTION("""COMPUTED_VALUE"""),5.0)</f>
        <v>5</v>
      </c>
      <c r="J2" s="6">
        <f>IFERROR(__xludf.DUMMYFUNCTION("""COMPUTED_VALUE"""),5.0)</f>
        <v>5</v>
      </c>
      <c r="K2" s="6">
        <f>IFERROR(__xludf.DUMMYFUNCTION("""COMPUTED_VALUE"""),5.0)</f>
        <v>5</v>
      </c>
      <c r="L2" s="6"/>
      <c r="M2" s="6"/>
      <c r="N2" s="6"/>
      <c r="O2" s="6">
        <f>IFERROR(__xludf.DUMMYFUNCTION("""COMPUTED_VALUE"""),2263273.0)</f>
        <v>2263273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>
        <f>IFERROR(__xludf.DUMMYFUNCTION("""COMPUTED_VALUE"""),2.0)</f>
        <v>2</v>
      </c>
      <c r="B3" s="7" t="str">
        <f>IFERROR(__xludf.DUMMYFUNCTION("""COMPUTED_VALUE"""),"ALARCON RODRIGUEZ VALERY DANIELA")</f>
        <v>ALARCON RODRIGUEZ VALERY DANIELA</v>
      </c>
      <c r="C3" s="6">
        <f>IFERROR(__xludf.DUMMYFUNCTION("""COMPUTED_VALUE"""),4.7)</f>
        <v>4.7</v>
      </c>
      <c r="D3" s="6"/>
      <c r="E3" s="6"/>
      <c r="F3" s="6"/>
      <c r="G3" s="6"/>
      <c r="H3" s="6"/>
      <c r="I3" s="6">
        <f>IFERROR(__xludf.DUMMYFUNCTION("""COMPUTED_VALUE"""),1.5)</f>
        <v>1.5</v>
      </c>
      <c r="J3" s="6">
        <f>IFERROR(__xludf.DUMMYFUNCTION("""COMPUTED_VALUE"""),1.5)</f>
        <v>1.5</v>
      </c>
      <c r="K3" s="6">
        <f>IFERROR(__xludf.DUMMYFUNCTION("""COMPUTED_VALUE"""),5.0)</f>
        <v>5</v>
      </c>
      <c r="L3" s="6"/>
      <c r="M3" s="6"/>
      <c r="N3" s="6"/>
      <c r="O3" s="6">
        <f>IFERROR(__xludf.DUMMYFUNCTION("""COMPUTED_VALUE"""),2262455.0)</f>
        <v>2262455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>
        <f>IFERROR(__xludf.DUMMYFUNCTION("""COMPUTED_VALUE"""),3.0)</f>
        <v>3</v>
      </c>
      <c r="B4" s="7" t="str">
        <f>IFERROR(__xludf.DUMMYFUNCTION("""COMPUTED_VALUE"""),"ALCOCER PORRAS CARLOS ANDRES")</f>
        <v>ALCOCER PORRAS CARLOS ANDRES</v>
      </c>
      <c r="C4" s="6">
        <f>IFERROR(__xludf.DUMMYFUNCTION("""COMPUTED_VALUE"""),5.0)</f>
        <v>5</v>
      </c>
      <c r="D4" s="6"/>
      <c r="E4" s="6"/>
      <c r="F4" s="6"/>
      <c r="G4" s="6"/>
      <c r="H4" s="6"/>
      <c r="I4" s="6">
        <f>IFERROR(__xludf.DUMMYFUNCTION("""COMPUTED_VALUE"""),5.0)</f>
        <v>5</v>
      </c>
      <c r="J4" s="6">
        <f>IFERROR(__xludf.DUMMYFUNCTION("""COMPUTED_VALUE"""),5.0)</f>
        <v>5</v>
      </c>
      <c r="K4" s="6">
        <f>IFERROR(__xludf.DUMMYFUNCTION("""COMPUTED_VALUE"""),5.0)</f>
        <v>5</v>
      </c>
      <c r="L4" s="6"/>
      <c r="M4" s="6"/>
      <c r="N4" s="6"/>
      <c r="O4" s="6">
        <f>IFERROR(__xludf.DUMMYFUNCTION("""COMPUTED_VALUE"""),2263869.0)</f>
        <v>2263869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>
        <f>IFERROR(__xludf.DUMMYFUNCTION("""COMPUTED_VALUE"""),4.0)</f>
        <v>4</v>
      </c>
      <c r="B5" s="7" t="str">
        <f>IFERROR(__xludf.DUMMYFUNCTION("""COMPUTED_VALUE"""),"ARDILA HERNANDEZ JUANITA SOFIA")</f>
        <v>ARDILA HERNANDEZ JUANITA SOFIA</v>
      </c>
      <c r="C5" s="6">
        <f>IFERROR(__xludf.DUMMYFUNCTION("""COMPUTED_VALUE"""),5.0)</f>
        <v>5</v>
      </c>
      <c r="D5" s="6"/>
      <c r="E5" s="6"/>
      <c r="F5" s="6"/>
      <c r="G5" s="6"/>
      <c r="H5" s="6"/>
      <c r="I5" s="6">
        <f>IFERROR(__xludf.DUMMYFUNCTION("""COMPUTED_VALUE"""),2.5)</f>
        <v>2.5</v>
      </c>
      <c r="J5" s="6">
        <f>IFERROR(__xludf.DUMMYFUNCTION("""COMPUTED_VALUE"""),1.8)</f>
        <v>1.8</v>
      </c>
      <c r="K5" s="6">
        <f>IFERROR(__xludf.DUMMYFUNCTION("""COMPUTED_VALUE"""),5.0)</f>
        <v>5</v>
      </c>
      <c r="L5" s="6"/>
      <c r="M5" s="6"/>
      <c r="N5" s="6"/>
      <c r="O5" s="6">
        <f>IFERROR(__xludf.DUMMYFUNCTION("""COMPUTED_VALUE"""),2263353.0)</f>
        <v>2263353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>
        <f>IFERROR(__xludf.DUMMYFUNCTION("""COMPUTED_VALUE"""),5.0)</f>
        <v>5</v>
      </c>
      <c r="B6" s="7" t="str">
        <f>IFERROR(__xludf.DUMMYFUNCTION("""COMPUTED_VALUE"""),"BALLESTEROS GUERRERO ANGEL DAVID")</f>
        <v>BALLESTEROS GUERRERO ANGEL DAVID</v>
      </c>
      <c r="C6" s="6">
        <f>IFERROR(__xludf.DUMMYFUNCTION("""COMPUTED_VALUE"""),4.4)</f>
        <v>4.4</v>
      </c>
      <c r="D6" s="6"/>
      <c r="E6" s="6"/>
      <c r="F6" s="6"/>
      <c r="G6" s="6"/>
      <c r="H6" s="6"/>
      <c r="I6" s="6">
        <f>IFERROR(__xludf.DUMMYFUNCTION("""COMPUTED_VALUE"""),3.8)</f>
        <v>3.8</v>
      </c>
      <c r="J6" s="6">
        <f>IFERROR(__xludf.DUMMYFUNCTION("""COMPUTED_VALUE"""),4.0)</f>
        <v>4</v>
      </c>
      <c r="K6" s="6">
        <f>IFERROR(__xludf.DUMMYFUNCTION("""COMPUTED_VALUE"""),0.0)</f>
        <v>0</v>
      </c>
      <c r="L6" s="6"/>
      <c r="M6" s="6"/>
      <c r="N6" s="6"/>
      <c r="O6" s="6">
        <f>IFERROR(__xludf.DUMMYFUNCTION("""COMPUTED_VALUE"""),2262736.0)</f>
        <v>2262736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>
        <f>IFERROR(__xludf.DUMMYFUNCTION("""COMPUTED_VALUE"""),6.0)</f>
        <v>6</v>
      </c>
      <c r="B7" s="7" t="str">
        <f>IFERROR(__xludf.DUMMYFUNCTION("""COMPUTED_VALUE"""),"BARRIOS SARMIENTO LUIS MIGUEL")</f>
        <v>BARRIOS SARMIENTO LUIS MIGUEL</v>
      </c>
      <c r="C7" s="6">
        <f>IFERROR(__xludf.DUMMYFUNCTION("""COMPUTED_VALUE"""),2.6)</f>
        <v>2.6</v>
      </c>
      <c r="D7" s="6"/>
      <c r="E7" s="6"/>
      <c r="F7" s="6"/>
      <c r="G7" s="6"/>
      <c r="H7" s="6"/>
      <c r="I7" s="6">
        <f>IFERROR(__xludf.DUMMYFUNCTION("""COMPUTED_VALUE"""),2.4)</f>
        <v>2.4</v>
      </c>
      <c r="J7" s="6">
        <f>IFERROR(__xludf.DUMMYFUNCTION("""COMPUTED_VALUE"""),1.5)</f>
        <v>1.5</v>
      </c>
      <c r="K7" s="6">
        <f>IFERROR(__xludf.DUMMYFUNCTION("""COMPUTED_VALUE"""),0.0)</f>
        <v>0</v>
      </c>
      <c r="L7" s="6"/>
      <c r="M7" s="6"/>
      <c r="N7" s="6"/>
      <c r="O7" s="6">
        <f>IFERROR(__xludf.DUMMYFUNCTION("""COMPUTED_VALUE"""),2263757.0)</f>
        <v>2263757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>
        <f>IFERROR(__xludf.DUMMYFUNCTION("""COMPUTED_VALUE"""),7.0)</f>
        <v>7</v>
      </c>
      <c r="B8" s="7" t="str">
        <f>IFERROR(__xludf.DUMMYFUNCTION("""COMPUTED_VALUE"""),"BELTRAN MALDONADO ROGERIO ORLANDO")</f>
        <v>BELTRAN MALDONADO ROGERIO ORLANDO</v>
      </c>
      <c r="C8" s="6">
        <f>IFERROR(__xludf.DUMMYFUNCTION("""COMPUTED_VALUE"""),5.0)</f>
        <v>5</v>
      </c>
      <c r="D8" s="6"/>
      <c r="E8" s="6"/>
      <c r="F8" s="6"/>
      <c r="G8" s="6"/>
      <c r="H8" s="6"/>
      <c r="I8" s="6">
        <f>IFERROR(__xludf.DUMMYFUNCTION("""COMPUTED_VALUE"""),5.0)</f>
        <v>5</v>
      </c>
      <c r="J8" s="6">
        <f>IFERROR(__xludf.DUMMYFUNCTION("""COMPUTED_VALUE"""),4.7)</f>
        <v>4.7</v>
      </c>
      <c r="K8" s="6">
        <f>IFERROR(__xludf.DUMMYFUNCTION("""COMPUTED_VALUE"""),5.0)</f>
        <v>5</v>
      </c>
      <c r="L8" s="6"/>
      <c r="M8" s="6"/>
      <c r="N8" s="6"/>
      <c r="O8" s="6">
        <f>IFERROR(__xludf.DUMMYFUNCTION("""COMPUTED_VALUE"""),2263232.0)</f>
        <v>2263232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>
        <f>IFERROR(__xludf.DUMMYFUNCTION("""COMPUTED_VALUE"""),8.0)</f>
        <v>8</v>
      </c>
      <c r="B9" s="7" t="str">
        <f>IFERROR(__xludf.DUMMYFUNCTION("""COMPUTED_VALUE"""),"CAMARGO GUEVARA DANNA GABRIELA")</f>
        <v>CAMARGO GUEVARA DANNA GABRIELA</v>
      </c>
      <c r="C9" s="6">
        <f>IFERROR(__xludf.DUMMYFUNCTION("""COMPUTED_VALUE"""),5.0)</f>
        <v>5</v>
      </c>
      <c r="D9" s="6"/>
      <c r="E9" s="6"/>
      <c r="F9" s="6"/>
      <c r="G9" s="6"/>
      <c r="H9" s="6"/>
      <c r="I9" s="6">
        <f>IFERROR(__xludf.DUMMYFUNCTION("""COMPUTED_VALUE"""),5.0)</f>
        <v>5</v>
      </c>
      <c r="J9" s="6">
        <f>IFERROR(__xludf.DUMMYFUNCTION("""COMPUTED_VALUE"""),5.0)</f>
        <v>5</v>
      </c>
      <c r="K9" s="6">
        <f>IFERROR(__xludf.DUMMYFUNCTION("""COMPUTED_VALUE"""),5.0)</f>
        <v>5</v>
      </c>
      <c r="L9" s="6"/>
      <c r="M9" s="6"/>
      <c r="N9" s="6"/>
      <c r="O9" s="6">
        <f>IFERROR(__xludf.DUMMYFUNCTION("""COMPUTED_VALUE"""),2263282.0)</f>
        <v>2263282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>
        <f>IFERROR(__xludf.DUMMYFUNCTION("""COMPUTED_VALUE"""),9.0)</f>
        <v>9</v>
      </c>
      <c r="B10" s="7" t="str">
        <f>IFERROR(__xludf.DUMMYFUNCTION("""COMPUTED_VALUE"""),"CUIDA PACHON KEVIN STIVEN")</f>
        <v>CUIDA PACHON KEVIN STIVEN</v>
      </c>
      <c r="C10" s="6">
        <f>IFERROR(__xludf.DUMMYFUNCTION("""COMPUTED_VALUE"""),3.7)</f>
        <v>3.7</v>
      </c>
      <c r="D10" s="6"/>
      <c r="E10" s="6"/>
      <c r="F10" s="6"/>
      <c r="G10" s="6"/>
      <c r="H10" s="6"/>
      <c r="I10" s="6">
        <f>IFERROR(__xludf.DUMMYFUNCTION("""COMPUTED_VALUE"""),1.0)</f>
        <v>1</v>
      </c>
      <c r="J10" s="6">
        <f>IFERROR(__xludf.DUMMYFUNCTION("""COMPUTED_VALUE"""),3.0)</f>
        <v>3</v>
      </c>
      <c r="K10" s="6">
        <f>IFERROR(__xludf.DUMMYFUNCTION("""COMPUTED_VALUE"""),5.0)</f>
        <v>5</v>
      </c>
      <c r="L10" s="6"/>
      <c r="M10" s="6"/>
      <c r="N10" s="6"/>
      <c r="O10" s="6">
        <f>IFERROR(__xludf.DUMMYFUNCTION("""COMPUTED_VALUE"""),2263365.0)</f>
        <v>2263365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>
        <f>IFERROR(__xludf.DUMMYFUNCTION("""COMPUTED_VALUE"""),10.0)</f>
        <v>10</v>
      </c>
      <c r="B11" s="7" t="str">
        <f>IFERROR(__xludf.DUMMYFUNCTION("""COMPUTED_VALUE"""),"DIAZ ROJAS DUVAN DANIEL")</f>
        <v>DIAZ ROJAS DUVAN DANIEL</v>
      </c>
      <c r="C11" s="6">
        <f>IFERROR(__xludf.DUMMYFUNCTION("""COMPUTED_VALUE"""),3.2)</f>
        <v>3.2</v>
      </c>
      <c r="D11" s="6"/>
      <c r="E11" s="6"/>
      <c r="F11" s="6"/>
      <c r="G11" s="6"/>
      <c r="H11" s="6"/>
      <c r="I11" s="6">
        <f>IFERROR(__xludf.DUMMYFUNCTION("""COMPUTED_VALUE"""),2.0)</f>
        <v>2</v>
      </c>
      <c r="J11" s="6">
        <f>IFERROR(__xludf.DUMMYFUNCTION("""COMPUTED_VALUE"""),2.6)</f>
        <v>2.6</v>
      </c>
      <c r="K11" s="6">
        <f>IFERROR(__xludf.DUMMYFUNCTION("""COMPUTED_VALUE"""),5.0)</f>
        <v>5</v>
      </c>
      <c r="L11" s="6"/>
      <c r="M11" s="6"/>
      <c r="N11" s="6"/>
      <c r="O11" s="6">
        <f>IFERROR(__xludf.DUMMYFUNCTION("""COMPUTED_VALUE"""),2263694.0)</f>
        <v>2263694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>
        <f>IFERROR(__xludf.DUMMYFUNCTION("""COMPUTED_VALUE"""),11.0)</f>
        <v>11</v>
      </c>
      <c r="B12" s="7" t="str">
        <f>IFERROR(__xludf.DUMMYFUNCTION("""COMPUTED_VALUE"""),"FERRUCHO SALAZAR JHOAN SEBASTIAN")</f>
        <v>FERRUCHO SALAZAR JHOAN SEBASTIAN</v>
      </c>
      <c r="C12" s="6">
        <f>IFERROR(__xludf.DUMMYFUNCTION("""COMPUTED_VALUE"""),3.5)</f>
        <v>3.5</v>
      </c>
      <c r="D12" s="6"/>
      <c r="E12" s="6"/>
      <c r="F12" s="6"/>
      <c r="G12" s="6"/>
      <c r="H12" s="6"/>
      <c r="I12" s="6">
        <f>IFERROR(__xludf.DUMMYFUNCTION("""COMPUTED_VALUE"""),0.0)</f>
        <v>0</v>
      </c>
      <c r="J12" s="6"/>
      <c r="K12" s="6">
        <f>IFERROR(__xludf.DUMMYFUNCTION("""COMPUTED_VALUE"""),5.0)</f>
        <v>5</v>
      </c>
      <c r="L12" s="6"/>
      <c r="M12" s="6"/>
      <c r="N12" s="6"/>
      <c r="O12" s="6">
        <f>IFERROR(__xludf.DUMMYFUNCTION("""COMPUTED_VALUE"""),2262114.0)</f>
        <v>2262114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>
        <f>IFERROR(__xludf.DUMMYFUNCTION("""COMPUTED_VALUE"""),12.0)</f>
        <v>12</v>
      </c>
      <c r="B13" s="7" t="str">
        <f>IFERROR(__xludf.DUMMYFUNCTION("""COMPUTED_VALUE"""),"FLOREZ ACERO JOSE DAVID")</f>
        <v>FLOREZ ACERO JOSE DAVID</v>
      </c>
      <c r="C13" s="6">
        <f>IFERROR(__xludf.DUMMYFUNCTION("""COMPUTED_VALUE"""),5.0)</f>
        <v>5</v>
      </c>
      <c r="D13" s="6"/>
      <c r="E13" s="6"/>
      <c r="F13" s="6"/>
      <c r="G13" s="6"/>
      <c r="H13" s="6"/>
      <c r="I13" s="6">
        <f>IFERROR(__xludf.DUMMYFUNCTION("""COMPUTED_VALUE"""),3.8)</f>
        <v>3.8</v>
      </c>
      <c r="J13" s="6">
        <f>IFERROR(__xludf.DUMMYFUNCTION("""COMPUTED_VALUE"""),3.5)</f>
        <v>3.5</v>
      </c>
      <c r="K13" s="6">
        <f>IFERROR(__xludf.DUMMYFUNCTION("""COMPUTED_VALUE"""),5.0)</f>
        <v>5</v>
      </c>
      <c r="L13" s="6"/>
      <c r="M13" s="6"/>
      <c r="N13" s="6"/>
      <c r="O13" s="6">
        <f>IFERROR(__xludf.DUMMYFUNCTION("""COMPUTED_VALUE"""),2263473.0)</f>
        <v>2263473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>
        <f>IFERROR(__xludf.DUMMYFUNCTION("""COMPUTED_VALUE"""),13.0)</f>
        <v>13</v>
      </c>
      <c r="B14" s="7" t="str">
        <f>IFERROR(__xludf.DUMMYFUNCTION("""COMPUTED_VALUE"""),"FLOREZ DIAZ SEBASTIAN ANDRES")</f>
        <v>FLOREZ DIAZ SEBASTIAN ANDRES</v>
      </c>
      <c r="C14" s="6">
        <f>IFERROR(__xludf.DUMMYFUNCTION("""COMPUTED_VALUE"""),3.0)</f>
        <v>3</v>
      </c>
      <c r="D14" s="6"/>
      <c r="E14" s="6"/>
      <c r="F14" s="6"/>
      <c r="G14" s="6"/>
      <c r="H14" s="6"/>
      <c r="I14" s="6">
        <f>IFERROR(__xludf.DUMMYFUNCTION("""COMPUTED_VALUE"""),3.8)</f>
        <v>3.8</v>
      </c>
      <c r="J14" s="6">
        <f>IFERROR(__xludf.DUMMYFUNCTION("""COMPUTED_VALUE"""),3.5)</f>
        <v>3.5</v>
      </c>
      <c r="K14" s="6">
        <f>IFERROR(__xludf.DUMMYFUNCTION("""COMPUTED_VALUE"""),0.0)</f>
        <v>0</v>
      </c>
      <c r="L14" s="6"/>
      <c r="M14" s="6"/>
      <c r="N14" s="6"/>
      <c r="O14" s="6">
        <f>IFERROR(__xludf.DUMMYFUNCTION("""COMPUTED_VALUE"""),2263793.0)</f>
        <v>2263793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>
        <f>IFERROR(__xludf.DUMMYFUNCTION("""COMPUTED_VALUE"""),14.0)</f>
        <v>14</v>
      </c>
      <c r="B15" s="7" t="str">
        <f>IFERROR(__xludf.DUMMYFUNCTION("""COMPUTED_VALUE"""),"GRIMALDOS CHANAGA ALVARO JOSE")</f>
        <v>GRIMALDOS CHANAGA ALVARO JOSE</v>
      </c>
      <c r="C15" s="6">
        <f>IFERROR(__xludf.DUMMYFUNCTION("""COMPUTED_VALUE"""),3.0)</f>
        <v>3</v>
      </c>
      <c r="D15" s="6"/>
      <c r="E15" s="6"/>
      <c r="F15" s="6"/>
      <c r="G15" s="6"/>
      <c r="H15" s="6"/>
      <c r="I15" s="6">
        <f>IFERROR(__xludf.DUMMYFUNCTION("""COMPUTED_VALUE"""),5.0)</f>
        <v>5</v>
      </c>
      <c r="J15" s="6">
        <f>IFERROR(__xludf.DUMMYFUNCTION("""COMPUTED_VALUE"""),4.0)</f>
        <v>4</v>
      </c>
      <c r="K15" s="6">
        <f>IFERROR(__xludf.DUMMYFUNCTION("""COMPUTED_VALUE"""),5.0)</f>
        <v>5</v>
      </c>
      <c r="L15" s="6"/>
      <c r="M15" s="6"/>
      <c r="N15" s="6"/>
      <c r="O15" s="6">
        <f>IFERROR(__xludf.DUMMYFUNCTION("""COMPUTED_VALUE"""),2263432.0)</f>
        <v>2263432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>
        <f>IFERROR(__xludf.DUMMYFUNCTION("""COMPUTED_VALUE"""),15.0)</f>
        <v>15</v>
      </c>
      <c r="B16" s="7" t="str">
        <f>IFERROR(__xludf.DUMMYFUNCTION("""COMPUTED_VALUE"""),"GUERRERO ARIAS JULIAN DAVID")</f>
        <v>GUERRERO ARIAS JULIAN DAVID</v>
      </c>
      <c r="C16" s="6">
        <f>IFERROR(__xludf.DUMMYFUNCTION("""COMPUTED_VALUE"""),4.9)</f>
        <v>4.9</v>
      </c>
      <c r="D16" s="6"/>
      <c r="E16" s="6"/>
      <c r="F16" s="6"/>
      <c r="G16" s="6"/>
      <c r="H16" s="6"/>
      <c r="I16" s="6">
        <f>IFERROR(__xludf.DUMMYFUNCTION("""COMPUTED_VALUE"""),3.8)</f>
        <v>3.8</v>
      </c>
      <c r="J16" s="6">
        <f>IFERROR(__xludf.DUMMYFUNCTION("""COMPUTED_VALUE"""),3.5)</f>
        <v>3.5</v>
      </c>
      <c r="K16" s="6">
        <f>IFERROR(__xludf.DUMMYFUNCTION("""COMPUTED_VALUE"""),0.0)</f>
        <v>0</v>
      </c>
      <c r="L16" s="6"/>
      <c r="M16" s="6"/>
      <c r="N16" s="6"/>
      <c r="O16" s="6">
        <f>IFERROR(__xludf.DUMMYFUNCTION("""COMPUTED_VALUE"""),2263754.0)</f>
        <v>2263754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>
        <f>IFERROR(__xludf.DUMMYFUNCTION("""COMPUTED_VALUE"""),16.0)</f>
        <v>16</v>
      </c>
      <c r="B17" s="7" t="str">
        <f>IFERROR(__xludf.DUMMYFUNCTION("""COMPUTED_VALUE"""),"GUERRERO BAUTISTA BRAYAN STIVEN")</f>
        <v>GUERRERO BAUTISTA BRAYAN STIVEN</v>
      </c>
      <c r="C17" s="6">
        <f>IFERROR(__xludf.DUMMYFUNCTION("""COMPUTED_VALUE"""),5.0)</f>
        <v>5</v>
      </c>
      <c r="D17" s="6"/>
      <c r="E17" s="6"/>
      <c r="F17" s="6"/>
      <c r="G17" s="6"/>
      <c r="H17" s="6"/>
      <c r="I17" s="6">
        <f>IFERROR(__xludf.DUMMYFUNCTION("""COMPUTED_VALUE"""),5.0)</f>
        <v>5</v>
      </c>
      <c r="J17" s="6">
        <f>IFERROR(__xludf.DUMMYFUNCTION("""COMPUTED_VALUE"""),4.8)</f>
        <v>4.8</v>
      </c>
      <c r="K17" s="6">
        <f>IFERROR(__xludf.DUMMYFUNCTION("""COMPUTED_VALUE"""),0.0)</f>
        <v>0</v>
      </c>
      <c r="L17" s="6"/>
      <c r="M17" s="6"/>
      <c r="N17" s="6"/>
      <c r="O17" s="6">
        <f>IFERROR(__xludf.DUMMYFUNCTION("""COMPUTED_VALUE"""),2263534.0)</f>
        <v>2263534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>
        <f>IFERROR(__xludf.DUMMYFUNCTION("""COMPUTED_VALUE"""),17.0)</f>
        <v>17</v>
      </c>
      <c r="B18" s="7" t="str">
        <f>IFERROR(__xludf.DUMMYFUNCTION("""COMPUTED_VALUE"""),"HERNANDEZ AYALA DANNA VALERIA")</f>
        <v>HERNANDEZ AYALA DANNA VALERIA</v>
      </c>
      <c r="C18" s="6">
        <f>IFERROR(__xludf.DUMMYFUNCTION("""COMPUTED_VALUE"""),4.2)</f>
        <v>4.2</v>
      </c>
      <c r="D18" s="6"/>
      <c r="E18" s="6"/>
      <c r="F18" s="6"/>
      <c r="G18" s="6"/>
      <c r="H18" s="6"/>
      <c r="I18" s="6">
        <f>IFERROR(__xludf.DUMMYFUNCTION("""COMPUTED_VALUE"""),2.0)</f>
        <v>2</v>
      </c>
      <c r="J18" s="6">
        <f>IFERROR(__xludf.DUMMYFUNCTION("""COMPUTED_VALUE"""),2.6)</f>
        <v>2.6</v>
      </c>
      <c r="K18" s="6">
        <f>IFERROR(__xludf.DUMMYFUNCTION("""COMPUTED_VALUE"""),5.0)</f>
        <v>5</v>
      </c>
      <c r="L18" s="6"/>
      <c r="M18" s="6"/>
      <c r="N18" s="6"/>
      <c r="O18" s="6">
        <f>IFERROR(__xludf.DUMMYFUNCTION("""COMPUTED_VALUE"""),2263427.0)</f>
        <v>2263427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>
        <f>IFERROR(__xludf.DUMMYFUNCTION("""COMPUTED_VALUE"""),18.0)</f>
        <v>18</v>
      </c>
      <c r="B19" s="7" t="str">
        <f>IFERROR(__xludf.DUMMYFUNCTION("""COMPUTED_VALUE"""),"LUNA GALVIS IVAN")</f>
        <v>LUNA GALVIS IVAN</v>
      </c>
      <c r="C19" s="6">
        <f>IFERROR(__xludf.DUMMYFUNCTION("""COMPUTED_VALUE"""),4.9)</f>
        <v>4.9</v>
      </c>
      <c r="D19" s="6"/>
      <c r="E19" s="6"/>
      <c r="F19" s="6"/>
      <c r="G19" s="6"/>
      <c r="H19" s="6"/>
      <c r="I19" s="6">
        <f>IFERROR(__xludf.DUMMYFUNCTION("""COMPUTED_VALUE"""),3.8)</f>
        <v>3.8</v>
      </c>
      <c r="J19" s="6">
        <f>IFERROR(__xludf.DUMMYFUNCTION("""COMPUTED_VALUE"""),3.5)</f>
        <v>3.5</v>
      </c>
      <c r="K19" s="6">
        <f>IFERROR(__xludf.DUMMYFUNCTION("""COMPUTED_VALUE"""),5.0)</f>
        <v>5</v>
      </c>
      <c r="L19" s="6"/>
      <c r="M19" s="6"/>
      <c r="N19" s="6"/>
      <c r="O19" s="6">
        <f>IFERROR(__xludf.DUMMYFUNCTION("""COMPUTED_VALUE"""),2263375.0)</f>
        <v>2263375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>
        <f>IFERROR(__xludf.DUMMYFUNCTION("""COMPUTED_VALUE"""),19.0)</f>
        <v>19</v>
      </c>
      <c r="B20" s="7" t="str">
        <f>IFERROR(__xludf.DUMMYFUNCTION("""COMPUTED_VALUE"""),"MANTILLA CARREÑO JHOAN ORLANDO")</f>
        <v>MANTILLA CARREÑO JHOAN ORLANDO</v>
      </c>
      <c r="C20" s="6">
        <f>IFERROR(__xludf.DUMMYFUNCTION("""COMPUTED_VALUE"""),5.0)</f>
        <v>5</v>
      </c>
      <c r="D20" s="6"/>
      <c r="E20" s="6"/>
      <c r="F20" s="6"/>
      <c r="G20" s="6"/>
      <c r="H20" s="6"/>
      <c r="I20" s="6">
        <f>IFERROR(__xludf.DUMMYFUNCTION("""COMPUTED_VALUE"""),5.0)</f>
        <v>5</v>
      </c>
      <c r="J20" s="6">
        <f>IFERROR(__xludf.DUMMYFUNCTION("""COMPUTED_VALUE"""),4.0)</f>
        <v>4</v>
      </c>
      <c r="K20" s="6">
        <f>IFERROR(__xludf.DUMMYFUNCTION("""COMPUTED_VALUE"""),0.0)</f>
        <v>0</v>
      </c>
      <c r="L20" s="6"/>
      <c r="M20" s="6"/>
      <c r="N20" s="6"/>
      <c r="O20" s="6">
        <f>IFERROR(__xludf.DUMMYFUNCTION("""COMPUTED_VALUE"""),2263410.0)</f>
        <v>2263410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>
        <f>IFERROR(__xludf.DUMMYFUNCTION("""COMPUTED_VALUE"""),20.0)</f>
        <v>20</v>
      </c>
      <c r="B21" s="7" t="str">
        <f>IFERROR(__xludf.DUMMYFUNCTION("""COMPUTED_VALUE"""),"MANTILLA MANTILLA JERONIMO ANDRES")</f>
        <v>MANTILLA MANTILLA JERONIMO ANDRES</v>
      </c>
      <c r="C21" s="6">
        <f>IFERROR(__xludf.DUMMYFUNCTION("""COMPUTED_VALUE"""),2.4)</f>
        <v>2.4</v>
      </c>
      <c r="D21" s="6"/>
      <c r="E21" s="6"/>
      <c r="F21" s="6"/>
      <c r="G21" s="6"/>
      <c r="H21" s="6"/>
      <c r="I21" s="6">
        <f>IFERROR(__xludf.DUMMYFUNCTION("""COMPUTED_VALUE"""),2.4)</f>
        <v>2.4</v>
      </c>
      <c r="J21" s="6">
        <f>IFERROR(__xludf.DUMMYFUNCTION("""COMPUTED_VALUE"""),4.3)</f>
        <v>4.3</v>
      </c>
      <c r="K21" s="6">
        <f>IFERROR(__xludf.DUMMYFUNCTION("""COMPUTED_VALUE"""),0.0)</f>
        <v>0</v>
      </c>
      <c r="L21" s="6"/>
      <c r="M21" s="6"/>
      <c r="N21" s="6"/>
      <c r="O21" s="6">
        <f>IFERROR(__xludf.DUMMYFUNCTION("""COMPUTED_VALUE"""),2263347.0)</f>
        <v>2263347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>
        <f>IFERROR(__xludf.DUMMYFUNCTION("""COMPUTED_VALUE"""),21.0)</f>
        <v>21</v>
      </c>
      <c r="B22" s="7" t="str">
        <f>IFERROR(__xludf.DUMMYFUNCTION("""COMPUTED_VALUE"""),"MARIN LOZANO EMANUEL")</f>
        <v>MARIN LOZANO EMANUEL</v>
      </c>
      <c r="C22" s="6">
        <f>IFERROR(__xludf.DUMMYFUNCTION("""COMPUTED_VALUE"""),4.4)</f>
        <v>4.4</v>
      </c>
      <c r="D22" s="6"/>
      <c r="E22" s="6"/>
      <c r="F22" s="6"/>
      <c r="G22" s="6"/>
      <c r="H22" s="6"/>
      <c r="I22" s="6">
        <f>IFERROR(__xludf.DUMMYFUNCTION("""COMPUTED_VALUE"""),4.0)</f>
        <v>4</v>
      </c>
      <c r="J22" s="6">
        <f>IFERROR(__xludf.DUMMYFUNCTION("""COMPUTED_VALUE"""),4.3)</f>
        <v>4.3</v>
      </c>
      <c r="K22" s="6">
        <f>IFERROR(__xludf.DUMMYFUNCTION("""COMPUTED_VALUE"""),5.0)</f>
        <v>5</v>
      </c>
      <c r="L22" s="6"/>
      <c r="M22" s="6"/>
      <c r="N22" s="6"/>
      <c r="O22" s="6">
        <f>IFERROR(__xludf.DUMMYFUNCTION("""COMPUTED_VALUE"""),2263911.0)</f>
        <v>2263911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>
        <f>IFERROR(__xludf.DUMMYFUNCTION("""COMPUTED_VALUE"""),22.0)</f>
        <v>22</v>
      </c>
      <c r="B23" s="7" t="str">
        <f>IFERROR(__xludf.DUMMYFUNCTION("""COMPUTED_VALUE"""),"MORENO CASTRO JAIDER ANDRES")</f>
        <v>MORENO CASTRO JAIDER ANDRES</v>
      </c>
      <c r="C23" s="6">
        <f>IFERROR(__xludf.DUMMYFUNCTION("""COMPUTED_VALUE"""),2.8)</f>
        <v>2.8</v>
      </c>
      <c r="D23" s="6"/>
      <c r="E23" s="6"/>
      <c r="F23" s="6"/>
      <c r="G23" s="6"/>
      <c r="H23" s="6"/>
      <c r="I23" s="6">
        <f>IFERROR(__xludf.DUMMYFUNCTION("""COMPUTED_VALUE"""),5.0)</f>
        <v>5</v>
      </c>
      <c r="J23" s="6">
        <f>IFERROR(__xludf.DUMMYFUNCTION("""COMPUTED_VALUE"""),1.5)</f>
        <v>1.5</v>
      </c>
      <c r="K23" s="6">
        <f>IFERROR(__xludf.DUMMYFUNCTION("""COMPUTED_VALUE"""),5.0)</f>
        <v>5</v>
      </c>
      <c r="L23" s="6"/>
      <c r="M23" s="6"/>
      <c r="N23" s="6"/>
      <c r="O23" s="6">
        <f>IFERROR(__xludf.DUMMYFUNCTION("""COMPUTED_VALUE"""),2263685.0)</f>
        <v>2263685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>
        <f>IFERROR(__xludf.DUMMYFUNCTION("""COMPUTED_VALUE"""),23.0)</f>
        <v>23</v>
      </c>
      <c r="B24" s="7" t="str">
        <f>IFERROR(__xludf.DUMMYFUNCTION("""COMPUTED_VALUE"""),"MORENO FIGUEROA WALTER GIOVANNY")</f>
        <v>MORENO FIGUEROA WALTER GIOVANNY</v>
      </c>
      <c r="C24" s="6">
        <f>IFERROR(__xludf.DUMMYFUNCTION("""COMPUTED_VALUE"""),5.0)</f>
        <v>5</v>
      </c>
      <c r="D24" s="6"/>
      <c r="E24" s="6"/>
      <c r="F24" s="6"/>
      <c r="G24" s="6"/>
      <c r="H24" s="6"/>
      <c r="I24" s="6">
        <f>IFERROR(__xludf.DUMMYFUNCTION("""COMPUTED_VALUE"""),3.8)</f>
        <v>3.8</v>
      </c>
      <c r="J24" s="6">
        <f>IFERROR(__xludf.DUMMYFUNCTION("""COMPUTED_VALUE"""),4.5)</f>
        <v>4.5</v>
      </c>
      <c r="K24" s="6">
        <f>IFERROR(__xludf.DUMMYFUNCTION("""COMPUTED_VALUE"""),0.0)</f>
        <v>0</v>
      </c>
      <c r="L24" s="6"/>
      <c r="M24" s="6"/>
      <c r="N24" s="6"/>
      <c r="O24" s="6">
        <f>IFERROR(__xludf.DUMMYFUNCTION("""COMPUTED_VALUE"""),2263572.0)</f>
        <v>2263572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>
        <f>IFERROR(__xludf.DUMMYFUNCTION("""COMPUTED_VALUE"""),24.0)</f>
        <v>24</v>
      </c>
      <c r="B25" s="7" t="str">
        <f>IFERROR(__xludf.DUMMYFUNCTION("""COMPUTED_VALUE"""),"PLATA MANTILLA JHON EMERSON")</f>
        <v>PLATA MANTILLA JHON EMERSON</v>
      </c>
      <c r="C25" s="6">
        <f>IFERROR(__xludf.DUMMYFUNCTION("""COMPUTED_VALUE"""),5.0)</f>
        <v>5</v>
      </c>
      <c r="D25" s="6"/>
      <c r="E25" s="6"/>
      <c r="F25" s="6"/>
      <c r="G25" s="6"/>
      <c r="H25" s="6"/>
      <c r="I25" s="6">
        <f>IFERROR(__xludf.DUMMYFUNCTION("""COMPUTED_VALUE"""),5.0)</f>
        <v>5</v>
      </c>
      <c r="J25" s="6"/>
      <c r="K25" s="6">
        <f>IFERROR(__xludf.DUMMYFUNCTION("""COMPUTED_VALUE"""),5.0)</f>
        <v>5</v>
      </c>
      <c r="L25" s="6"/>
      <c r="M25" s="6"/>
      <c r="N25" s="6"/>
      <c r="O25" s="6">
        <f>IFERROR(__xludf.DUMMYFUNCTION("""COMPUTED_VALUE"""),2263293.0)</f>
        <v>2263293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>
        <f>IFERROR(__xludf.DUMMYFUNCTION("""COMPUTED_VALUE"""),25.0)</f>
        <v>25</v>
      </c>
      <c r="B26" s="7" t="str">
        <f>IFERROR(__xludf.DUMMYFUNCTION("""COMPUTED_VALUE"""),"PUENTES OSSA JUAN ESTEBAN")</f>
        <v>PUENTES OSSA JUAN ESTEBAN</v>
      </c>
      <c r="C26" s="6">
        <f>IFERROR(__xludf.DUMMYFUNCTION("""COMPUTED_VALUE"""),3.8)</f>
        <v>3.8</v>
      </c>
      <c r="D26" s="6"/>
      <c r="E26" s="6"/>
      <c r="F26" s="6"/>
      <c r="G26" s="6"/>
      <c r="H26" s="6"/>
      <c r="I26" s="6">
        <f>IFERROR(__xludf.DUMMYFUNCTION("""COMPUTED_VALUE"""),1.5)</f>
        <v>1.5</v>
      </c>
      <c r="J26" s="6">
        <f>IFERROR(__xludf.DUMMYFUNCTION("""COMPUTED_VALUE"""),3.5)</f>
        <v>3.5</v>
      </c>
      <c r="K26" s="6">
        <f>IFERROR(__xludf.DUMMYFUNCTION("""COMPUTED_VALUE"""),5.0)</f>
        <v>5</v>
      </c>
      <c r="L26" s="6"/>
      <c r="M26" s="6"/>
      <c r="N26" s="6"/>
      <c r="O26" s="6">
        <f>IFERROR(__xludf.DUMMYFUNCTION("""COMPUTED_VALUE"""),2263767.0)</f>
        <v>2263767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>
        <f>IFERROR(__xludf.DUMMYFUNCTION("""COMPUTED_VALUE"""),26.0)</f>
        <v>26</v>
      </c>
      <c r="B27" s="7" t="str">
        <f>IFERROR(__xludf.DUMMYFUNCTION("""COMPUTED_VALUE"""),"ROA RODRIGUEZ LUIS SANTIAGO")</f>
        <v>ROA RODRIGUEZ LUIS SANTIAGO</v>
      </c>
      <c r="C27" s="6">
        <f>IFERROR(__xludf.DUMMYFUNCTION("""COMPUTED_VALUE"""),0.0)</f>
        <v>0</v>
      </c>
      <c r="D27" s="6"/>
      <c r="E27" s="6"/>
      <c r="F27" s="6"/>
      <c r="G27" s="6"/>
      <c r="H27" s="6"/>
      <c r="I27" s="6">
        <f>IFERROR(__xludf.DUMMYFUNCTION("""COMPUTED_VALUE"""),0.0)</f>
        <v>0</v>
      </c>
      <c r="J27" s="6"/>
      <c r="K27" s="6">
        <f>IFERROR(__xludf.DUMMYFUNCTION("""COMPUTED_VALUE"""),0.0)</f>
        <v>0</v>
      </c>
      <c r="L27" s="6"/>
      <c r="M27" s="6"/>
      <c r="N27" s="6"/>
      <c r="O27" s="6">
        <f>IFERROR(__xludf.DUMMYFUNCTION("""COMPUTED_VALUE"""),2263814.0)</f>
        <v>2263814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>
        <f>IFERROR(__xludf.DUMMYFUNCTION("""COMPUTED_VALUE"""),27.0)</f>
        <v>27</v>
      </c>
      <c r="B28" s="7" t="str">
        <f>IFERROR(__xludf.DUMMYFUNCTION("""COMPUTED_VALUE"""),"URIBE LOPEZ LAURA MARIANA")</f>
        <v>URIBE LOPEZ LAURA MARIANA</v>
      </c>
      <c r="C28" s="6">
        <f>IFERROR(__xludf.DUMMYFUNCTION("""COMPUTED_VALUE"""),5.0)</f>
        <v>5</v>
      </c>
      <c r="D28" s="6"/>
      <c r="E28" s="6"/>
      <c r="F28" s="6"/>
      <c r="G28" s="6"/>
      <c r="H28" s="6"/>
      <c r="I28" s="6">
        <f>IFERROR(__xludf.DUMMYFUNCTION("""COMPUTED_VALUE"""),5.0)</f>
        <v>5</v>
      </c>
      <c r="J28" s="6">
        <f>IFERROR(__xludf.DUMMYFUNCTION("""COMPUTED_VALUE"""),4.4)</f>
        <v>4.4</v>
      </c>
      <c r="K28" s="6">
        <f>IFERROR(__xludf.DUMMYFUNCTION("""COMPUTED_VALUE"""),5.0)</f>
        <v>5</v>
      </c>
      <c r="L28" s="6"/>
      <c r="M28" s="6"/>
      <c r="N28" s="6"/>
      <c r="O28" s="6">
        <f>IFERROR(__xludf.DUMMYFUNCTION("""COMPUTED_VALUE"""),2263314.0)</f>
        <v>2263314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7">
        <f>IFERROR(__xludf.DUMMYFUNCTION("""COMPUTED_VALUE"""),28.0)</f>
        <v>28</v>
      </c>
      <c r="B29" s="7" t="str">
        <f>IFERROR(__xludf.DUMMYFUNCTION("""COMPUTED_VALUE"""),"UZCATEGUI GUILLEN ALEX MIGUEL")</f>
        <v>UZCATEGUI GUILLEN ALEX MIGUEL</v>
      </c>
      <c r="C29" s="7">
        <f>IFERROR(__xludf.DUMMYFUNCTION("""COMPUTED_VALUE"""),4.3)</f>
        <v>4.3</v>
      </c>
      <c r="D29" s="7"/>
      <c r="E29" s="7"/>
      <c r="F29" s="7"/>
      <c r="G29" s="7"/>
      <c r="H29" s="7"/>
      <c r="I29" s="7">
        <f>IFERROR(__xludf.DUMMYFUNCTION("""COMPUTED_VALUE"""),5.0)</f>
        <v>5</v>
      </c>
      <c r="J29" s="7">
        <f>IFERROR(__xludf.DUMMYFUNCTION("""COMPUTED_VALUE"""),3.8)</f>
        <v>3.8</v>
      </c>
      <c r="K29" s="7">
        <f>IFERROR(__xludf.DUMMYFUNCTION("""COMPUTED_VALUE"""),5.0)</f>
        <v>5</v>
      </c>
      <c r="L29" s="7"/>
      <c r="M29" s="7"/>
      <c r="N29" s="7"/>
      <c r="O29" s="7">
        <f>IFERROR(__xludf.DUMMYFUNCTION("""COMPUTED_VALUE"""),2263533.0)</f>
        <v>2263533</v>
      </c>
    </row>
    <row r="30">
      <c r="A30" s="7">
        <f>IFERROR(__xludf.DUMMYFUNCTION("""COMPUTED_VALUE"""),29.0)</f>
        <v>29</v>
      </c>
      <c r="B30" s="7" t="str">
        <f>IFERROR(__xludf.DUMMYFUNCTION("""COMPUTED_VALUE"""),"VILLALOBOS ESPAÑA JULIAN ANDRES")</f>
        <v>VILLALOBOS ESPAÑA JULIAN ANDRES</v>
      </c>
      <c r="C30" s="7">
        <f>IFERROR(__xludf.DUMMYFUNCTION("""COMPUTED_VALUE"""),4.9)</f>
        <v>4.9</v>
      </c>
      <c r="D30" s="7"/>
      <c r="E30" s="7"/>
      <c r="F30" s="7"/>
      <c r="G30" s="7"/>
      <c r="H30" s="7"/>
      <c r="I30" s="7">
        <f>IFERROR(__xludf.DUMMYFUNCTION("""COMPUTED_VALUE"""),5.0)</f>
        <v>5</v>
      </c>
      <c r="J30" s="7">
        <f>IFERROR(__xludf.DUMMYFUNCTION("""COMPUTED_VALUE"""),2.5)</f>
        <v>2.5</v>
      </c>
      <c r="K30" s="7">
        <f>IFERROR(__xludf.DUMMYFUNCTION("""COMPUTED_VALUE"""),5.0)</f>
        <v>5</v>
      </c>
      <c r="L30" s="7"/>
      <c r="M30" s="7"/>
      <c r="N30" s="7"/>
      <c r="O30" s="7">
        <f>IFERROR(__xludf.DUMMYFUNCTION("""COMPUTED_VALUE"""),2263480.0)</f>
        <v>2263480</v>
      </c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