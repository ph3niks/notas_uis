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1" sheetId="1" r:id="rId5"/>
    <sheet state="visible" name="PF3" sheetId="2" r:id="rId6"/>
    <sheet state="visible" name="PE9" sheetId="3" r:id="rId7"/>
    <sheet state="visible" name="PF1" sheetId="4" r:id="rId8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0" xfId="0" applyFont="1"/>
    <xf borderId="0" fillId="0" fontId="1" numFmtId="2" xfId="0" applyAlignment="1" applyFont="1" applyNumberFormat="1">
      <alignment horizontal="center"/>
    </xf>
    <xf borderId="0" fillId="0" fontId="2" numFmtId="2" xfId="0" applyFont="1" applyNumberFormat="1"/>
    <xf borderId="0" fillId="0" fontId="2" numFmtId="0" xfId="0" applyFont="1"/>
    <xf borderId="0" fillId="0" fontId="2" numFmtId="0" xfId="0" applyAlignment="1" applyFont="1">
      <alignment horizontal="center"/>
    </xf>
    <xf borderId="0" fillId="0" fontId="2" numFmtId="164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2" numFmtId="9" xfId="0" applyAlignment="1" applyFont="1" applyNumberFormat="1">
      <alignment horizontal="center"/>
    </xf>
    <xf borderId="0" fillId="0" fontId="1" numFmtId="0" xfId="0" applyAlignment="1" applyFont="1">
      <alignment horizontal="left" readingOrder="0"/>
    </xf>
    <xf borderId="0" fillId="0" fontId="1" numFmtId="0" xfId="0" applyAlignment="1" applyFont="1">
      <alignment horizontal="left"/>
    </xf>
    <xf borderId="0" fillId="0" fontId="2" numFmtId="10" xfId="0" applyAlignment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>
        <color theme="0"/>
      </font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>
        <color theme="0"/>
      </font>
      <fill>
        <patternFill patternType="solid">
          <fgColor rgb="FFCC0000"/>
          <bgColor rgb="FFCC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88"/>
    <col customWidth="1" min="3" max="17" width="3.88"/>
    <col customWidth="1" min="18" max="18" width="6.0"/>
    <col customWidth="1" min="19" max="19" width="7.0"/>
    <col customWidth="1" min="20" max="20" width="7.5"/>
    <col customWidth="1" min="21" max="22" width="3.88"/>
    <col customWidth="1" min="23" max="23" width="6.13"/>
    <col customWidth="1" min="24" max="24" width="7.25"/>
    <col customWidth="1" min="25" max="37" width="3.88"/>
  </cols>
  <sheetData>
    <row r="1">
      <c r="A1" s="1" t="str">
        <f>IFERROR(__xludf.DUMMYFUNCTION("IMPORTRANGE(""1IBQjOws3WhAXDJftgpUWc3oN7u_5yElNOe9-ViV3LKs"",""CALC2!A1:AA29"")"),"No")</f>
        <v>No</v>
      </c>
      <c r="B1" s="2" t="str">
        <f>IFERROR(__xludf.DUMMYFUNCTION("""COMPUTED_VALUE"""),"ESTUDIANTE - Grupo E1")</f>
        <v>ESTUDIANTE - Grupo E1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" t="str">
        <f>IFERROR(__xludf.DUMMYFUNCTION("""COMPUTED_VALUE"""),"Q1")</f>
        <v>Q1</v>
      </c>
      <c r="I1" s="1" t="str">
        <f>IFERROR(__xludf.DUMMYFUNCTION("""COMPUTED_VALUE"""),"Q2")</f>
        <v>Q2</v>
      </c>
      <c r="J1" s="1" t="str">
        <f>IFERROR(__xludf.DUMMYFUNCTION("""COMPUTED_VALUE"""),"Q4")</f>
        <v>Q4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IFERROR(__xludf.DUMMYFUNCTION("""COMPUTED_VALUE"""),"Tr1")</f>
        <v>Tr1</v>
      </c>
      <c r="N1" s="1" t="str">
        <f>IFERROR(__xludf.DUMMYFUNCTION("""COMPUTED_VALUE"""),"Ta3")</f>
        <v>Ta3</v>
      </c>
      <c r="O1" s="1" t="str">
        <f>IFERROR(__xludf.DUMMYFUNCTION("""COMPUTED_VALUE"""),"Q5")</f>
        <v>Q5</v>
      </c>
      <c r="P1" s="1" t="str">
        <f>IFERROR(__xludf.DUMMYFUNCTION("""COMPUTED_VALUE"""),"Q6")</f>
        <v>Q6</v>
      </c>
      <c r="Q1" s="1" t="str">
        <f>IFERROR(__xludf.DUMMYFUNCTION("""COMPUTED_VALUE"""),"Tr2")</f>
        <v>Tr2</v>
      </c>
      <c r="R1" s="1" t="str">
        <f>IFERROR(__xludf.DUMMYFUNCTION("""COMPUTED_VALUE"""),"Ta4")</f>
        <v>Ta4</v>
      </c>
      <c r="S1" s="1" t="str">
        <f>IFERROR(__xludf.DUMMYFUNCTION("""COMPUTED_VALUE"""),"Tr3")</f>
        <v>Tr3</v>
      </c>
      <c r="T1" s="3" t="str">
        <f>IFERROR(__xludf.DUMMYFUNCTION("""COMPUTED_VALUE"""),"FINAL")</f>
        <v>FINAL</v>
      </c>
      <c r="U1" s="1" t="str">
        <f>IFERROR(__xludf.DUMMYFUNCTION("""COMPUTED_VALUE"""),"meta3.0")</f>
        <v>meta3.0</v>
      </c>
      <c r="V1" s="1"/>
      <c r="W1" s="1"/>
      <c r="X1" s="1"/>
      <c r="Y1" s="4" t="str">
        <f>IFERROR(__xludf.DUMMYFUNCTION("""COMPUTED_VALUE"""),"FINAL")</f>
        <v>FINAL</v>
      </c>
      <c r="Z1" s="5" t="str">
        <f>IFERROR(__xludf.DUMMYFUNCTION("""COMPUTED_VALUE"""),"COD")</f>
        <v>COD</v>
      </c>
      <c r="AA1" s="5" t="str">
        <f>IFERROR(__xludf.DUMMYFUNCTION("""COMPUTED_VALUE"""),"CORREO")</f>
        <v>CORREO</v>
      </c>
    </row>
    <row r="2">
      <c r="A2" s="6">
        <f>IFERROR(__xludf.DUMMYFUNCTION("""COMPUTED_VALUE"""),1.0)</f>
        <v>1</v>
      </c>
      <c r="B2" s="5" t="str">
        <f>IFERROR(__xludf.DUMMYFUNCTION("""COMPUTED_VALUE"""),"ALICASTRO GONZALEZ VALENTINA ALEXANDRA")</f>
        <v>ALICASTRO GONZALEZ VALENTINA ALEXANDRA</v>
      </c>
      <c r="C2" s="6">
        <f>IFERROR(__xludf.DUMMYFUNCTION("""COMPUTED_VALUE"""),1.5)</f>
        <v>1.5</v>
      </c>
      <c r="D2" s="6">
        <f>IFERROR(__xludf.DUMMYFUNCTION("""COMPUTED_VALUE"""),5.0)</f>
        <v>5</v>
      </c>
      <c r="E2" s="6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IFERROR(__xludf.DUMMYFUNCTION("""COMPUTED_VALUE"""),1.6)</f>
        <v>1.6</v>
      </c>
      <c r="H2" s="6">
        <f>IFERROR(__xludf.DUMMYFUNCTION("""COMPUTED_VALUE"""),2.0)</f>
        <v>2</v>
      </c>
      <c r="I2" s="6">
        <f>IFERROR(__xludf.DUMMYFUNCTION("""COMPUTED_VALUE"""),3.4)</f>
        <v>3.4</v>
      </c>
      <c r="J2" s="6">
        <f>IFERROR(__xludf.DUMMYFUNCTION("""COMPUTED_VALUE"""),0.0)</f>
        <v>0</v>
      </c>
      <c r="K2" s="6">
        <f>IFERROR(__xludf.DUMMYFUNCTION("""COMPUTED_VALUE"""),0.0)</f>
        <v>0</v>
      </c>
      <c r="L2" s="6">
        <f>IFERROR(__xludf.DUMMYFUNCTION("""COMPUTED_VALUE"""),1.0)</f>
        <v>1</v>
      </c>
      <c r="M2" s="6">
        <f>IFERROR(__xludf.DUMMYFUNCTION("""COMPUTED_VALUE"""),5.0)</f>
        <v>5</v>
      </c>
      <c r="N2" s="6">
        <f>IFERROR(__xludf.DUMMYFUNCTION("""COMPUTED_VALUE"""),3.0)</f>
        <v>3</v>
      </c>
      <c r="O2" s="6">
        <f>IFERROR(__xludf.DUMMYFUNCTION("""COMPUTED_VALUE"""),0.0)</f>
        <v>0</v>
      </c>
      <c r="P2" s="6">
        <f>IFERROR(__xludf.DUMMYFUNCTION("""COMPUTED_VALUE"""),0.0)</f>
        <v>0</v>
      </c>
      <c r="Q2" s="6">
        <f>IFERROR(__xludf.DUMMYFUNCTION("""COMPUTED_VALUE"""),0.0)</f>
        <v>0</v>
      </c>
      <c r="R2" s="6">
        <f>IFERROR(__xludf.DUMMYFUNCTION("""COMPUTED_VALUE"""),0.0)</f>
        <v>0</v>
      </c>
      <c r="S2" s="6">
        <f>IFERROR(__xludf.DUMMYFUNCTION("""COMPUTED_VALUE"""),0.0)</f>
        <v>0</v>
      </c>
      <c r="T2" s="8">
        <f>IFERROR(__xludf.DUMMYFUNCTION("""COMPUTED_VALUE"""),1.54)</f>
        <v>1.54</v>
      </c>
      <c r="U2" s="9">
        <f>IFERROR(__xludf.DUMMYFUNCTION("""COMPUTED_VALUE"""),0.5133333333333333)</f>
        <v>0.5133333333</v>
      </c>
      <c r="V2" s="6"/>
      <c r="W2" s="6"/>
      <c r="X2" s="6"/>
      <c r="Y2" s="5"/>
      <c r="Z2" s="5">
        <f>IFERROR(__xludf.DUMMYFUNCTION("""COMPUTED_VALUE"""),2243499.0)</f>
        <v>2243499</v>
      </c>
      <c r="AA2" s="5" t="str">
        <f>IFERROR(__xludf.DUMMYFUNCTION("""COMPUTED_VALUE"""),"alicastrovalentina@gmail.com,valentina2243499@correo.uis.edu.co")</f>
        <v>alicastrovalentina@gmail.com,valentina2243499@correo.uis.edu.co</v>
      </c>
    </row>
    <row r="3">
      <c r="A3" s="6">
        <f>IFERROR(__xludf.DUMMYFUNCTION("""COMPUTED_VALUE"""),2.0)</f>
        <v>2</v>
      </c>
      <c r="B3" s="5" t="str">
        <f>IFERROR(__xludf.DUMMYFUNCTION("""COMPUTED_VALUE"""),"BELTRAN LOPEZ KEYNER DAVID")</f>
        <v>BELTRAN LOPEZ KEYNER DAVID</v>
      </c>
      <c r="C3" s="6">
        <f>IFERROR(__xludf.DUMMYFUNCTION("""COMPUTED_VALUE"""),4.1)</f>
        <v>4.1</v>
      </c>
      <c r="D3" s="6">
        <f>IFERROR(__xludf.DUMMYFUNCTION("""COMPUTED_VALUE"""),3.4)</f>
        <v>3.4</v>
      </c>
      <c r="E3" s="6">
        <f>IFERROR(__xludf.DUMMYFUNCTION("""COMPUTED_VALUE"""),1.5)</f>
        <v>1.5</v>
      </c>
      <c r="F3" s="7">
        <f>IFERROR(__xludf.DUMMYFUNCTION("""COMPUTED_VALUE"""),5.0)</f>
        <v>5</v>
      </c>
      <c r="G3" s="6">
        <f>IFERROR(__xludf.DUMMYFUNCTION("""COMPUTED_VALUE"""),4.9)</f>
        <v>4.9</v>
      </c>
      <c r="H3" s="6">
        <f>IFERROR(__xludf.DUMMYFUNCTION("""COMPUTED_VALUE"""),2.0)</f>
        <v>2</v>
      </c>
      <c r="I3" s="6">
        <f>IFERROR(__xludf.DUMMYFUNCTION("""COMPUTED_VALUE"""),3.4)</f>
        <v>3.4</v>
      </c>
      <c r="J3" s="6">
        <f>IFERROR(__xludf.DUMMYFUNCTION("""COMPUTED_VALUE"""),4.1)</f>
        <v>4.1</v>
      </c>
      <c r="K3" s="6">
        <f>IFERROR(__xludf.DUMMYFUNCTION("""COMPUTED_VALUE"""),5.0)</f>
        <v>5</v>
      </c>
      <c r="L3" s="6">
        <f>IFERROR(__xludf.DUMMYFUNCTION("""COMPUTED_VALUE"""),5.0)</f>
        <v>5</v>
      </c>
      <c r="M3" s="6">
        <f>IFERROR(__xludf.DUMMYFUNCTION("""COMPUTED_VALUE"""),4.6)</f>
        <v>4.6</v>
      </c>
      <c r="N3" s="6">
        <f>IFERROR(__xludf.DUMMYFUNCTION("""COMPUTED_VALUE"""),5.0)</f>
        <v>5</v>
      </c>
      <c r="O3" s="6">
        <f>IFERROR(__xludf.DUMMYFUNCTION("""COMPUTED_VALUE"""),4.0)</f>
        <v>4</v>
      </c>
      <c r="P3" s="6">
        <f>IFERROR(__xludf.DUMMYFUNCTION("""COMPUTED_VALUE"""),5.0)</f>
        <v>5</v>
      </c>
      <c r="Q3" s="6">
        <f>IFERROR(__xludf.DUMMYFUNCTION("""COMPUTED_VALUE"""),5.0)</f>
        <v>5</v>
      </c>
      <c r="R3" s="6">
        <f>IFERROR(__xludf.DUMMYFUNCTION("""COMPUTED_VALUE"""),5.0)</f>
        <v>5</v>
      </c>
      <c r="S3" s="6">
        <f>IFERROR(__xludf.DUMMYFUNCTION("""COMPUTED_VALUE"""),5.0)</f>
        <v>5</v>
      </c>
      <c r="T3" s="8">
        <f>IFERROR(__xludf.DUMMYFUNCTION("""COMPUTED_VALUE"""),3.61)</f>
        <v>3.61</v>
      </c>
      <c r="U3" s="9">
        <f>IFERROR(__xludf.DUMMYFUNCTION("""COMPUTED_VALUE"""),1.2033333333333334)</f>
        <v>1.203333333</v>
      </c>
      <c r="V3" s="6"/>
      <c r="W3" s="6"/>
      <c r="X3" s="6"/>
      <c r="Y3" s="5"/>
      <c r="Z3" s="5">
        <f>IFERROR(__xludf.DUMMYFUNCTION("""COMPUTED_VALUE"""),2252349.0)</f>
        <v>2252349</v>
      </c>
      <c r="AA3" s="5" t="str">
        <f>IFERROR(__xludf.DUMMYFUNCTION("""COMPUTED_VALUE"""),"KEYNERDAVIDBELTRANLOPEZ4@GMAIL.COM,keyner2252349@correo.uis.edu.co")</f>
        <v>KEYNERDAVIDBELTRANLOPEZ4@GMAIL.COM,keyner2252349@correo.uis.edu.co</v>
      </c>
    </row>
    <row r="4">
      <c r="A4" s="6">
        <f>IFERROR(__xludf.DUMMYFUNCTION("""COMPUTED_VALUE"""),3.0)</f>
        <v>3</v>
      </c>
      <c r="B4" s="5" t="str">
        <f>IFERROR(__xludf.DUMMYFUNCTION("""COMPUTED_VALUE"""),"BENEDETTI DE HOYOS MARIA DE LOS ANGELES")</f>
        <v>BENEDETTI DE HOYOS MARIA DE LOS ANGELES</v>
      </c>
      <c r="C4" s="6">
        <f>IFERROR(__xludf.DUMMYFUNCTION("""COMPUTED_VALUE"""),2.2)</f>
        <v>2.2</v>
      </c>
      <c r="D4" s="6">
        <f>IFERROR(__xludf.DUMMYFUNCTION("""COMPUTED_VALUE"""),3.5)</f>
        <v>3.5</v>
      </c>
      <c r="E4" s="6">
        <f>IFERROR(__xludf.DUMMYFUNCTION("""COMPUTED_VALUE"""),1.8)</f>
        <v>1.8</v>
      </c>
      <c r="F4" s="7">
        <f>IFERROR(__xludf.DUMMYFUNCTION("""COMPUTED_VALUE"""),3.2)</f>
        <v>3.2</v>
      </c>
      <c r="G4" s="6">
        <f>IFERROR(__xludf.DUMMYFUNCTION("""COMPUTED_VALUE"""),4.9)</f>
        <v>4.9</v>
      </c>
      <c r="H4" s="6">
        <f>IFERROR(__xludf.DUMMYFUNCTION("""COMPUTED_VALUE"""),3.0)</f>
        <v>3</v>
      </c>
      <c r="I4" s="6">
        <f>IFERROR(__xludf.DUMMYFUNCTION("""COMPUTED_VALUE"""),5.0)</f>
        <v>5</v>
      </c>
      <c r="J4" s="6">
        <f>IFERROR(__xludf.DUMMYFUNCTION("""COMPUTED_VALUE"""),4.4)</f>
        <v>4.4</v>
      </c>
      <c r="K4" s="6">
        <f>IFERROR(__xludf.DUMMYFUNCTION("""COMPUTED_VALUE"""),0.0)</f>
        <v>0</v>
      </c>
      <c r="L4" s="6">
        <f>IFERROR(__xludf.DUMMYFUNCTION("""COMPUTED_VALUE"""),5.0)</f>
        <v>5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IFERROR(__xludf.DUMMYFUNCTION("""COMPUTED_VALUE"""),5.0)</f>
        <v>5</v>
      </c>
      <c r="P4" s="6">
        <f>IFERROR(__xludf.DUMMYFUNCTION("""COMPUTED_VALUE"""),5.0)</f>
        <v>5</v>
      </c>
      <c r="Q4" s="6">
        <f>IFERROR(__xludf.DUMMYFUNCTION("""COMPUTED_VALUE"""),5.0)</f>
        <v>5</v>
      </c>
      <c r="R4" s="6">
        <f>IFERROR(__xludf.DUMMYFUNCTION("""COMPUTED_VALUE"""),3.5)</f>
        <v>3.5</v>
      </c>
      <c r="S4" s="6">
        <f>IFERROR(__xludf.DUMMYFUNCTION("""COMPUTED_VALUE"""),5.0)</f>
        <v>5</v>
      </c>
      <c r="T4" s="8">
        <f>IFERROR(__xludf.DUMMYFUNCTION("""COMPUTED_VALUE"""),2.9650000000000003)</f>
        <v>2.965</v>
      </c>
      <c r="U4" s="9">
        <f>IFERROR(__xludf.DUMMYFUNCTION("""COMPUTED_VALUE"""),0.9883333333333334)</f>
        <v>0.9883333333</v>
      </c>
      <c r="V4" s="6"/>
      <c r="W4" s="6"/>
      <c r="X4" s="6"/>
      <c r="Y4" s="5"/>
      <c r="Z4" s="5">
        <f>IFERROR(__xludf.DUMMYFUNCTION("""COMPUTED_VALUE"""),2230490.0)</f>
        <v>2230490</v>
      </c>
      <c r="AA4" s="5" t="str">
        <f>IFERROR(__xludf.DUMMYFUNCTION("""COMPUTED_VALUE"""),"MARIABENEDETTIDH@GMAIL.COM,maria2230490@correo.uis.edu.co")</f>
        <v>MARIABENEDETTIDH@GMAIL.COM,maria2230490@correo.uis.edu.co</v>
      </c>
    </row>
    <row r="5">
      <c r="A5" s="6">
        <f>IFERROR(__xludf.DUMMYFUNCTION("""COMPUTED_VALUE"""),4.0)</f>
        <v>4</v>
      </c>
      <c r="B5" s="5" t="str">
        <f>IFERROR(__xludf.DUMMYFUNCTION("""COMPUTED_VALUE"""),"BERMUDEZ GONZALEZ GABRIEL FELIPE")</f>
        <v>BERMUDEZ GONZALEZ GABRIEL FELIPE</v>
      </c>
      <c r="C5" s="6">
        <f>IFERROR(__xludf.DUMMYFUNCTION("""COMPUTED_VALUE"""),3.4)</f>
        <v>3.4</v>
      </c>
      <c r="D5" s="6">
        <f>IFERROR(__xludf.DUMMYFUNCTION("""COMPUTED_VALUE"""),4.1)</f>
        <v>4.1</v>
      </c>
      <c r="E5" s="6">
        <f>IFERROR(__xludf.DUMMYFUNCTION("""COMPUTED_VALUE"""),1.8)</f>
        <v>1.8</v>
      </c>
      <c r="F5" s="7">
        <f>IFERROR(__xludf.DUMMYFUNCTION("""COMPUTED_VALUE"""),4.8)</f>
        <v>4.8</v>
      </c>
      <c r="G5" s="6">
        <f>IFERROR(__xludf.DUMMYFUNCTION("""COMPUTED_VALUE"""),4.8)</f>
        <v>4.8</v>
      </c>
      <c r="H5" s="6">
        <f>IFERROR(__xludf.DUMMYFUNCTION("""COMPUTED_VALUE"""),3.6)</f>
        <v>3.6</v>
      </c>
      <c r="I5" s="6">
        <f>IFERROR(__xludf.DUMMYFUNCTION("""COMPUTED_VALUE"""),5.0)</f>
        <v>5</v>
      </c>
      <c r="J5" s="6">
        <f>IFERROR(__xludf.DUMMYFUNCTION("""COMPUTED_VALUE"""),2.5)</f>
        <v>2.5</v>
      </c>
      <c r="K5" s="6">
        <f>IFERROR(__xludf.DUMMYFUNCTION("""COMPUTED_VALUE"""),0.0)</f>
        <v>0</v>
      </c>
      <c r="L5" s="6">
        <f>IFERROR(__xludf.DUMMYFUNCTION("""COMPUTED_VALUE"""),4.4)</f>
        <v>4.4</v>
      </c>
      <c r="M5" s="6">
        <f>IFERROR(__xludf.DUMMYFUNCTION("""COMPUTED_VALUE"""),5.0)</f>
        <v>5</v>
      </c>
      <c r="N5" s="6">
        <f>IFERROR(__xludf.DUMMYFUNCTION("""COMPUTED_VALUE"""),5.0)</f>
        <v>5</v>
      </c>
      <c r="O5" s="6">
        <f>IFERROR(__xludf.DUMMYFUNCTION("""COMPUTED_VALUE"""),4.0)</f>
        <v>4</v>
      </c>
      <c r="P5" s="6">
        <f>IFERROR(__xludf.DUMMYFUNCTION("""COMPUTED_VALUE"""),5.0)</f>
        <v>5</v>
      </c>
      <c r="Q5" s="6">
        <f>IFERROR(__xludf.DUMMYFUNCTION("""COMPUTED_VALUE"""),5.0)</f>
        <v>5</v>
      </c>
      <c r="R5" s="6">
        <f>IFERROR(__xludf.DUMMYFUNCTION("""COMPUTED_VALUE"""),5.0)</f>
        <v>5</v>
      </c>
      <c r="S5" s="6">
        <f>IFERROR(__xludf.DUMMYFUNCTION("""COMPUTED_VALUE"""),5.0)</f>
        <v>5</v>
      </c>
      <c r="T5" s="8">
        <f>IFERROR(__xludf.DUMMYFUNCTION("""COMPUTED_VALUE"""),3.630000000000001)</f>
        <v>3.63</v>
      </c>
      <c r="U5" s="9">
        <f>IFERROR(__xludf.DUMMYFUNCTION("""COMPUTED_VALUE"""),1.2100000000000002)</f>
        <v>1.21</v>
      </c>
      <c r="V5" s="6"/>
      <c r="W5" s="6"/>
      <c r="X5" s="6"/>
      <c r="Y5" s="5"/>
      <c r="Z5" s="5">
        <f>IFERROR(__xludf.DUMMYFUNCTION("""COMPUTED_VALUE"""),2252243.0)</f>
        <v>2252243</v>
      </c>
      <c r="AA5" s="5" t="str">
        <f>IFERROR(__xludf.DUMMYFUNCTION("""COMPUTED_VALUE"""),"GABRIELFELIPEBERMUDEZ@GMAIL.COM,gabriel2252243@correo.uis.edu.co")</f>
        <v>GABRIELFELIPEBERMUDEZ@GMAIL.COM,gabriel2252243@correo.uis.edu.co</v>
      </c>
    </row>
    <row r="6">
      <c r="A6" s="6">
        <f>IFERROR(__xludf.DUMMYFUNCTION("""COMPUTED_VALUE"""),5.0)</f>
        <v>5</v>
      </c>
      <c r="B6" s="5" t="str">
        <f>IFERROR(__xludf.DUMMYFUNCTION("""COMPUTED_VALUE"""),"BOADA MORELO JONATHAN ADRIAN")</f>
        <v>BOADA MORELO JONATHAN ADRIAN</v>
      </c>
      <c r="C6" s="6">
        <f>IFERROR(__xludf.DUMMYFUNCTION("""COMPUTED_VALUE"""),2.1)</f>
        <v>2.1</v>
      </c>
      <c r="D6" s="6">
        <f>IFERROR(__xludf.DUMMYFUNCTION("""COMPUTED_VALUE"""),4.7)</f>
        <v>4.7</v>
      </c>
      <c r="E6" s="6">
        <f>IFERROR(__xludf.DUMMYFUNCTION("""COMPUTED_VALUE"""),1.8)</f>
        <v>1.8</v>
      </c>
      <c r="F6" s="7">
        <f>IFERROR(__xludf.DUMMYFUNCTION("""COMPUTED_VALUE"""),5.0)</f>
        <v>5</v>
      </c>
      <c r="G6" s="6">
        <f>IFERROR(__xludf.DUMMYFUNCTION("""COMPUTED_VALUE"""),4.8)</f>
        <v>4.8</v>
      </c>
      <c r="H6" s="6">
        <f>IFERROR(__xludf.DUMMYFUNCTION("""COMPUTED_VALUE"""),2.4)</f>
        <v>2.4</v>
      </c>
      <c r="I6" s="6">
        <f>IFERROR(__xludf.DUMMYFUNCTION("""COMPUTED_VALUE"""),5.0)</f>
        <v>5</v>
      </c>
      <c r="J6" s="6">
        <f>IFERROR(__xludf.DUMMYFUNCTION("""COMPUTED_VALUE"""),5.0)</f>
        <v>5</v>
      </c>
      <c r="K6" s="6">
        <f>IFERROR(__xludf.DUMMYFUNCTION("""COMPUTED_VALUE"""),0.0)</f>
        <v>0</v>
      </c>
      <c r="L6" s="6">
        <f>IFERROR(__xludf.DUMMYFUNCTION("""COMPUTED_VALUE"""),4.5)</f>
        <v>4.5</v>
      </c>
      <c r="M6" s="6">
        <f>IFERROR(__xludf.DUMMYFUNCTION("""COMPUTED_VALUE"""),5.0)</f>
        <v>5</v>
      </c>
      <c r="N6" s="6">
        <f>IFERROR(__xludf.DUMMYFUNCTION("""COMPUTED_VALUE"""),5.0)</f>
        <v>5</v>
      </c>
      <c r="O6" s="6">
        <f>IFERROR(__xludf.DUMMYFUNCTION("""COMPUTED_VALUE"""),4.0)</f>
        <v>4</v>
      </c>
      <c r="P6" s="6">
        <f>IFERROR(__xludf.DUMMYFUNCTION("""COMPUTED_VALUE"""),5.0)</f>
        <v>5</v>
      </c>
      <c r="Q6" s="6">
        <f>IFERROR(__xludf.DUMMYFUNCTION("""COMPUTED_VALUE"""),5.0)</f>
        <v>5</v>
      </c>
      <c r="R6" s="6">
        <f>IFERROR(__xludf.DUMMYFUNCTION("""COMPUTED_VALUE"""),3.5)</f>
        <v>3.5</v>
      </c>
      <c r="S6" s="6">
        <f>IFERROR(__xludf.DUMMYFUNCTION("""COMPUTED_VALUE"""),5.0)</f>
        <v>5</v>
      </c>
      <c r="T6" s="8">
        <f>IFERROR(__xludf.DUMMYFUNCTION("""COMPUTED_VALUE"""),3.5300000000000002)</f>
        <v>3.53</v>
      </c>
      <c r="U6" s="9">
        <f>IFERROR(__xludf.DUMMYFUNCTION("""COMPUTED_VALUE"""),1.1766666666666667)</f>
        <v>1.176666667</v>
      </c>
      <c r="V6" s="6"/>
      <c r="W6" s="6"/>
      <c r="X6" s="6"/>
      <c r="Y6" s="5"/>
      <c r="Z6" s="5">
        <f>IFERROR(__xludf.DUMMYFUNCTION("""COMPUTED_VALUE"""),2201182.0)</f>
        <v>2201182</v>
      </c>
      <c r="AA6" s="5" t="str">
        <f>IFERROR(__xludf.DUMMYFUNCTION("""COMPUTED_VALUE"""),"yonatanboada@hotmail.com,jonathan2201182@correo.uis.edu.co")</f>
        <v>yonatanboada@hotmail.com,jonathan2201182@correo.uis.edu.co</v>
      </c>
    </row>
    <row r="7">
      <c r="A7" s="6">
        <f>IFERROR(__xludf.DUMMYFUNCTION("""COMPUTED_VALUE"""),6.0)</f>
        <v>6</v>
      </c>
      <c r="B7" s="5" t="str">
        <f>IFERROR(__xludf.DUMMYFUNCTION("""COMPUTED_VALUE"""),"CARREÑO PINTO JUAN DAVID")</f>
        <v>CARREÑO PINTO JUAN DAVID</v>
      </c>
      <c r="C7" s="6">
        <f>IFERROR(__xludf.DUMMYFUNCTION("""COMPUTED_VALUE"""),2.1)</f>
        <v>2.1</v>
      </c>
      <c r="D7" s="6">
        <f>IFERROR(__xludf.DUMMYFUNCTION("""COMPUTED_VALUE"""),2.7)</f>
        <v>2.7</v>
      </c>
      <c r="E7" s="6">
        <f>IFERROR(__xludf.DUMMYFUNCTION("""COMPUTED_VALUE"""),1.5)</f>
        <v>1.5</v>
      </c>
      <c r="F7" s="7">
        <f>IFERROR(__xludf.DUMMYFUNCTION("""COMPUTED_VALUE"""),3.8)</f>
        <v>3.8</v>
      </c>
      <c r="G7" s="6">
        <f>IFERROR(__xludf.DUMMYFUNCTION("""COMPUTED_VALUE"""),4.6)</f>
        <v>4.6</v>
      </c>
      <c r="H7" s="6">
        <f>IFERROR(__xludf.DUMMYFUNCTION("""COMPUTED_VALUE"""),2.0)</f>
        <v>2</v>
      </c>
      <c r="I7" s="6">
        <f>IFERROR(__xludf.DUMMYFUNCTION("""COMPUTED_VALUE"""),3.4)</f>
        <v>3.4</v>
      </c>
      <c r="J7" s="6">
        <f>IFERROR(__xludf.DUMMYFUNCTION("""COMPUTED_VALUE"""),4.1)</f>
        <v>4.1</v>
      </c>
      <c r="K7" s="6">
        <f>IFERROR(__xludf.DUMMYFUNCTION("""COMPUTED_VALUE"""),4.1)</f>
        <v>4.1</v>
      </c>
      <c r="L7" s="6">
        <f>IFERROR(__xludf.DUMMYFUNCTION("""COMPUTED_VALUE"""),4.5)</f>
        <v>4.5</v>
      </c>
      <c r="M7" s="6">
        <f>IFERROR(__xludf.DUMMYFUNCTION("""COMPUTED_VALUE"""),5.0)</f>
        <v>5</v>
      </c>
      <c r="N7" s="6">
        <f>IFERROR(__xludf.DUMMYFUNCTION("""COMPUTED_VALUE"""),5.0)</f>
        <v>5</v>
      </c>
      <c r="O7" s="6">
        <f>IFERROR(__xludf.DUMMYFUNCTION("""COMPUTED_VALUE"""),4.0)</f>
        <v>4</v>
      </c>
      <c r="P7" s="6">
        <f>IFERROR(__xludf.DUMMYFUNCTION("""COMPUTED_VALUE"""),5.0)</f>
        <v>5</v>
      </c>
      <c r="Q7" s="6">
        <f>IFERROR(__xludf.DUMMYFUNCTION("""COMPUTED_VALUE"""),0.0)</f>
        <v>0</v>
      </c>
      <c r="R7" s="6">
        <f>IFERROR(__xludf.DUMMYFUNCTION("""COMPUTED_VALUE"""),5.0)</f>
        <v>5</v>
      </c>
      <c r="S7" s="6">
        <f>IFERROR(__xludf.DUMMYFUNCTION("""COMPUTED_VALUE"""),5.0)</f>
        <v>5</v>
      </c>
      <c r="T7" s="8">
        <f>IFERROR(__xludf.DUMMYFUNCTION("""COMPUTED_VALUE"""),2.7850000000000006)</f>
        <v>2.785</v>
      </c>
      <c r="U7" s="9">
        <f>IFERROR(__xludf.DUMMYFUNCTION("""COMPUTED_VALUE"""),0.9283333333333336)</f>
        <v>0.9283333333</v>
      </c>
      <c r="V7" s="6"/>
      <c r="W7" s="6"/>
      <c r="X7" s="6"/>
      <c r="Y7" s="5"/>
      <c r="Z7" s="5">
        <f>IFERROR(__xludf.DUMMYFUNCTION("""COMPUTED_VALUE"""),2253170.0)</f>
        <v>2253170</v>
      </c>
      <c r="AA7" s="5" t="str">
        <f>IFERROR(__xludf.DUMMYFUNCTION("""COMPUTED_VALUE"""),"SONIAPINTO6880@GMAIL.COM,juan2253170@correo.uis.edu.co")</f>
        <v>SONIAPINTO6880@GMAIL.COM,juan2253170@correo.uis.edu.co</v>
      </c>
    </row>
    <row r="8">
      <c r="A8" s="6">
        <f>IFERROR(__xludf.DUMMYFUNCTION("""COMPUTED_VALUE"""),7.0)</f>
        <v>7</v>
      </c>
      <c r="B8" s="5" t="str">
        <f>IFERROR(__xludf.DUMMYFUNCTION("""COMPUTED_VALUE"""),"CAÑAS LOPEZ LUZ MARIAM")</f>
        <v>CAÑAS LOPEZ LUZ MARIAM</v>
      </c>
      <c r="C8" s="6">
        <f>IFERROR(__xludf.DUMMYFUNCTION("""COMPUTED_VALUE"""),2.1)</f>
        <v>2.1</v>
      </c>
      <c r="D8" s="6">
        <f>IFERROR(__xludf.DUMMYFUNCTION("""COMPUTED_VALUE"""),2.7)</f>
        <v>2.7</v>
      </c>
      <c r="E8" s="6">
        <f>IFERROR(__xludf.DUMMYFUNCTION("""COMPUTED_VALUE"""),1.3)</f>
        <v>1.3</v>
      </c>
      <c r="F8" s="7">
        <f>IFERROR(__xludf.DUMMYFUNCTION("""COMPUTED_VALUE"""),2.4)</f>
        <v>2.4</v>
      </c>
      <c r="G8" s="6">
        <f>IFERROR(__xludf.DUMMYFUNCTION("""COMPUTED_VALUE"""),4.7)</f>
        <v>4.7</v>
      </c>
      <c r="H8" s="6">
        <f>IFERROR(__xludf.DUMMYFUNCTION("""COMPUTED_VALUE"""),2.0)</f>
        <v>2</v>
      </c>
      <c r="I8" s="6">
        <f>IFERROR(__xludf.DUMMYFUNCTION("""COMPUTED_VALUE"""),5.0)</f>
        <v>5</v>
      </c>
      <c r="J8" s="6">
        <f>IFERROR(__xludf.DUMMYFUNCTION("""COMPUTED_VALUE"""),5.0)</f>
        <v>5</v>
      </c>
      <c r="K8" s="6">
        <f>IFERROR(__xludf.DUMMYFUNCTION("""COMPUTED_VALUE"""),0.0)</f>
        <v>0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IFERROR(__xludf.DUMMYFUNCTION("""COMPUTED_VALUE"""),0.0)</f>
        <v>0</v>
      </c>
      <c r="O8" s="6">
        <f>IFERROR(__xludf.DUMMYFUNCTION("""COMPUTED_VALUE"""),5.0)</f>
        <v>5</v>
      </c>
      <c r="P8" s="6">
        <f>IFERROR(__xludf.DUMMYFUNCTION("""COMPUTED_VALUE"""),5.0)</f>
        <v>5</v>
      </c>
      <c r="Q8" s="6">
        <f>IFERROR(__xludf.DUMMYFUNCTION("""COMPUTED_VALUE"""),5.0)</f>
        <v>5</v>
      </c>
      <c r="R8" s="6">
        <f>IFERROR(__xludf.DUMMYFUNCTION("""COMPUTED_VALUE"""),5.0)</f>
        <v>5</v>
      </c>
      <c r="S8" s="6">
        <f>IFERROR(__xludf.DUMMYFUNCTION("""COMPUTED_VALUE"""),0.0)</f>
        <v>0</v>
      </c>
      <c r="T8" s="8">
        <f>IFERROR(__xludf.DUMMYFUNCTION("""COMPUTED_VALUE"""),2.47)</f>
        <v>2.47</v>
      </c>
      <c r="U8" s="9">
        <f>IFERROR(__xludf.DUMMYFUNCTION("""COMPUTED_VALUE"""),0.8233333333333334)</f>
        <v>0.8233333333</v>
      </c>
      <c r="V8" s="6"/>
      <c r="W8" s="6"/>
      <c r="X8" s="6"/>
      <c r="Y8" s="5"/>
      <c r="Z8" s="5">
        <f>IFERROR(__xludf.DUMMYFUNCTION("""COMPUTED_VALUE"""),2251360.0)</f>
        <v>2251360</v>
      </c>
      <c r="AA8" s="5" t="str">
        <f>IFERROR(__xludf.DUMMYFUNCTION("""COMPUTED_VALUE"""),"lcanas089@gmail.com,luz2251360@correo.uis.edu.co")</f>
        <v>lcanas089@gmail.com,luz2251360@correo.uis.edu.co</v>
      </c>
    </row>
    <row r="9">
      <c r="A9" s="6">
        <f>IFERROR(__xludf.DUMMYFUNCTION("""COMPUTED_VALUE"""),8.0)</f>
        <v>8</v>
      </c>
      <c r="B9" s="5" t="str">
        <f>IFERROR(__xludf.DUMMYFUNCTION("""COMPUTED_VALUE"""),"DIAZ DIAZ NATALIA")</f>
        <v>DIAZ DIAZ NATALIA</v>
      </c>
      <c r="C9" s="6">
        <f>IFERROR(__xludf.DUMMYFUNCTION("""COMPUTED_VALUE"""),2.5)</f>
        <v>2.5</v>
      </c>
      <c r="D9" s="6">
        <f>IFERROR(__xludf.DUMMYFUNCTION("""COMPUTED_VALUE"""),4.7)</f>
        <v>4.7</v>
      </c>
      <c r="E9" s="6">
        <f>IFERROR(__xludf.DUMMYFUNCTION("""COMPUTED_VALUE"""),2.2)</f>
        <v>2.2</v>
      </c>
      <c r="F9" s="7">
        <f>IFERROR(__xludf.DUMMYFUNCTION("""COMPUTED_VALUE"""),5.0)</f>
        <v>5</v>
      </c>
      <c r="G9" s="6">
        <f>IFERROR(__xludf.DUMMYFUNCTION("""COMPUTED_VALUE"""),4.8)</f>
        <v>4.8</v>
      </c>
      <c r="H9" s="6">
        <f>IFERROR(__xludf.DUMMYFUNCTION("""COMPUTED_VALUE"""),3.0)</f>
        <v>3</v>
      </c>
      <c r="I9" s="6">
        <f>IFERROR(__xludf.DUMMYFUNCTION("""COMPUTED_VALUE"""),3.4)</f>
        <v>3.4</v>
      </c>
      <c r="J9" s="6">
        <f>IFERROR(__xludf.DUMMYFUNCTION("""COMPUTED_VALUE"""),4.4)</f>
        <v>4.4</v>
      </c>
      <c r="K9" s="6">
        <f>IFERROR(__xludf.DUMMYFUNCTION("""COMPUTED_VALUE"""),0.0)</f>
        <v>0</v>
      </c>
      <c r="L9" s="6">
        <f>IFERROR(__xludf.DUMMYFUNCTION("""COMPUTED_VALUE"""),5.0)</f>
        <v>5</v>
      </c>
      <c r="M9" s="6">
        <f>IFERROR(__xludf.DUMMYFUNCTION("""COMPUTED_VALUE"""),5.0)</f>
        <v>5</v>
      </c>
      <c r="N9" s="6">
        <f>IFERROR(__xludf.DUMMYFUNCTION("""COMPUTED_VALUE"""),5.0)</f>
        <v>5</v>
      </c>
      <c r="O9" s="6">
        <f>IFERROR(__xludf.DUMMYFUNCTION("""COMPUTED_VALUE"""),4.0)</f>
        <v>4</v>
      </c>
      <c r="P9" s="6">
        <f>IFERROR(__xludf.DUMMYFUNCTION("""COMPUTED_VALUE"""),5.0)</f>
        <v>5</v>
      </c>
      <c r="Q9" s="6">
        <f>IFERROR(__xludf.DUMMYFUNCTION("""COMPUTED_VALUE"""),5.0)</f>
        <v>5</v>
      </c>
      <c r="R9" s="6">
        <f>IFERROR(__xludf.DUMMYFUNCTION("""COMPUTED_VALUE"""),5.0)</f>
        <v>5</v>
      </c>
      <c r="S9" s="6">
        <f>IFERROR(__xludf.DUMMYFUNCTION("""COMPUTED_VALUE"""),5.0)</f>
        <v>5</v>
      </c>
      <c r="T9" s="8">
        <f>IFERROR(__xludf.DUMMYFUNCTION("""COMPUTED_VALUE"""),3.71)</f>
        <v>3.71</v>
      </c>
      <c r="U9" s="9">
        <f>IFERROR(__xludf.DUMMYFUNCTION("""COMPUTED_VALUE"""),1.2366666666666666)</f>
        <v>1.236666667</v>
      </c>
      <c r="V9" s="6"/>
      <c r="W9" s="6"/>
      <c r="X9" s="6"/>
      <c r="Y9" s="5"/>
      <c r="Z9" s="5">
        <f>IFERROR(__xludf.DUMMYFUNCTION("""COMPUTED_VALUE"""),2252431.0)</f>
        <v>2252431</v>
      </c>
      <c r="AA9" s="5" t="str">
        <f>IFERROR(__xludf.DUMMYFUNCTION("""COMPUTED_VALUE"""),"NATAD0912@GMAIL.COM,natalia2252431@correo.uis.edu.co")</f>
        <v>NATAD0912@GMAIL.COM,natalia2252431@correo.uis.edu.co</v>
      </c>
    </row>
    <row r="10">
      <c r="A10" s="6">
        <f>IFERROR(__xludf.DUMMYFUNCTION("""COMPUTED_VALUE"""),9.0)</f>
        <v>9</v>
      </c>
      <c r="B10" s="5" t="str">
        <f>IFERROR(__xludf.DUMMYFUNCTION("""COMPUTED_VALUE"""),"DIAZ ORDUZ JUAN DIEGO")</f>
        <v>DIAZ ORDUZ JUAN DIEGO</v>
      </c>
      <c r="C10" s="6">
        <f>IFERROR(__xludf.DUMMYFUNCTION("""COMPUTED_VALUE"""),2.6)</f>
        <v>2.6</v>
      </c>
      <c r="D10" s="6">
        <f>IFERROR(__xludf.DUMMYFUNCTION("""COMPUTED_VALUE"""),5.0)</f>
        <v>5</v>
      </c>
      <c r="E10" s="6">
        <f>IFERROR(__xludf.DUMMYFUNCTION("""COMPUTED_VALUE"""),2.0)</f>
        <v>2</v>
      </c>
      <c r="F10" s="7">
        <f>IFERROR(__xludf.DUMMYFUNCTION("""COMPUTED_VALUE"""),4.5)</f>
        <v>4.5</v>
      </c>
      <c r="G10" s="6">
        <f>IFERROR(__xludf.DUMMYFUNCTION("""COMPUTED_VALUE"""),5.0)</f>
        <v>5</v>
      </c>
      <c r="H10" s="6">
        <f>IFERROR(__xludf.DUMMYFUNCTION("""COMPUTED_VALUE"""),3.5)</f>
        <v>3.5</v>
      </c>
      <c r="I10" s="6">
        <f>IFERROR(__xludf.DUMMYFUNCTION("""COMPUTED_VALUE"""),5.0)</f>
        <v>5</v>
      </c>
      <c r="J10" s="6">
        <f>IFERROR(__xludf.DUMMYFUNCTION("""COMPUTED_VALUE"""),2.9)</f>
        <v>2.9</v>
      </c>
      <c r="K10" s="6">
        <f>IFERROR(__xludf.DUMMYFUNCTION("""COMPUTED_VALUE"""),0.0)</f>
        <v>0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>
        <f>IFERROR(__xludf.DUMMYFUNCTION("""COMPUTED_VALUE"""),5.0)</f>
        <v>5</v>
      </c>
      <c r="R10" s="6">
        <f>IFERROR(__xludf.DUMMYFUNCTION("""COMPUTED_VALUE"""),5.0)</f>
        <v>5</v>
      </c>
      <c r="S10" s="6">
        <f>IFERROR(__xludf.DUMMYFUNCTION("""COMPUTED_VALUE"""),5.0)</f>
        <v>5</v>
      </c>
      <c r="T10" s="8">
        <f>IFERROR(__xludf.DUMMYFUNCTION("""COMPUTED_VALUE"""),3.67)</f>
        <v>3.67</v>
      </c>
      <c r="U10" s="9">
        <f>IFERROR(__xludf.DUMMYFUNCTION("""COMPUTED_VALUE"""),1.2233333333333334)</f>
        <v>1.223333333</v>
      </c>
      <c r="V10" s="6"/>
      <c r="W10" s="6"/>
      <c r="X10" s="6"/>
      <c r="Y10" s="5"/>
      <c r="Z10" s="5">
        <f>IFERROR(__xludf.DUMMYFUNCTION("""COMPUTED_VALUE"""),2241550.0)</f>
        <v>2241550</v>
      </c>
      <c r="AA10" s="5" t="str">
        <f>IFERROR(__xludf.DUMMYFUNCTION("""COMPUTED_VALUE"""),"JuanDiegoDiazOrduz@gmail.com,juan2241550@correo.uis.edu.co")</f>
        <v>JuanDiegoDiazOrduz@gmail.com,juan2241550@correo.uis.edu.co</v>
      </c>
    </row>
    <row r="11">
      <c r="A11" s="6">
        <f>IFERROR(__xludf.DUMMYFUNCTION("""COMPUTED_VALUE"""),10.0)</f>
        <v>10</v>
      </c>
      <c r="B11" s="5" t="str">
        <f>IFERROR(__xludf.DUMMYFUNCTION("""COMPUTED_VALUE"""),"ESPITIA BUENO OMAR DAVID")</f>
        <v>ESPITIA BUENO OMAR DAVID</v>
      </c>
      <c r="C11" s="6">
        <f>IFERROR(__xludf.DUMMYFUNCTION("""COMPUTED_VALUE"""),2.1)</f>
        <v>2.1</v>
      </c>
      <c r="D11" s="6">
        <f>IFERROR(__xludf.DUMMYFUNCTION("""COMPUTED_VALUE"""),4.5)</f>
        <v>4.5</v>
      </c>
      <c r="E11" s="6">
        <f>IFERROR(__xludf.DUMMYFUNCTION("""COMPUTED_VALUE"""),2.0)</f>
        <v>2</v>
      </c>
      <c r="F11" s="7">
        <f>IFERROR(__xludf.DUMMYFUNCTION("""COMPUTED_VALUE"""),3.4)</f>
        <v>3.4</v>
      </c>
      <c r="G11" s="6">
        <f>IFERROR(__xludf.DUMMYFUNCTION("""COMPUTED_VALUE"""),4.8)</f>
        <v>4.8</v>
      </c>
      <c r="H11" s="6">
        <f>IFERROR(__xludf.DUMMYFUNCTION("""COMPUTED_VALUE"""),2.0)</f>
        <v>2</v>
      </c>
      <c r="I11" s="6">
        <f>IFERROR(__xludf.DUMMYFUNCTION("""COMPUTED_VALUE"""),0.0)</f>
        <v>0</v>
      </c>
      <c r="J11" s="6">
        <f>IFERROR(__xludf.DUMMYFUNCTION("""COMPUTED_VALUE"""),4.1)</f>
        <v>4.1</v>
      </c>
      <c r="K11" s="6">
        <f>IFERROR(__xludf.DUMMYFUNCTION("""COMPUTED_VALUE"""),0.0)</f>
        <v>0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IFERROR(__xludf.DUMMYFUNCTION("""COMPUTED_VALUE"""),5.0)</f>
        <v>5</v>
      </c>
      <c r="P11" s="6">
        <f>IFERROR(__xludf.DUMMYFUNCTION("""COMPUTED_VALUE"""),5.0)</f>
        <v>5</v>
      </c>
      <c r="Q11" s="6">
        <f>IFERROR(__xludf.DUMMYFUNCTION("""COMPUTED_VALUE"""),5.0)</f>
        <v>5</v>
      </c>
      <c r="R11" s="6">
        <f>IFERROR(__xludf.DUMMYFUNCTION("""COMPUTED_VALUE"""),4.5)</f>
        <v>4.5</v>
      </c>
      <c r="S11" s="6">
        <f>IFERROR(__xludf.DUMMYFUNCTION("""COMPUTED_VALUE"""),5.0)</f>
        <v>5</v>
      </c>
      <c r="T11" s="8">
        <f>IFERROR(__xludf.DUMMYFUNCTION("""COMPUTED_VALUE"""),3.2199999999999998)</f>
        <v>3.22</v>
      </c>
      <c r="U11" s="9">
        <f>IFERROR(__xludf.DUMMYFUNCTION("""COMPUTED_VALUE"""),1.0733333333333333)</f>
        <v>1.073333333</v>
      </c>
      <c r="V11" s="6"/>
      <c r="W11" s="6"/>
      <c r="X11" s="6"/>
      <c r="Y11" s="5"/>
      <c r="Z11" s="5">
        <f>IFERROR(__xludf.DUMMYFUNCTION("""COMPUTED_VALUE"""),2253113.0)</f>
        <v>2253113</v>
      </c>
      <c r="AA11" s="5" t="str">
        <f>IFERROR(__xludf.DUMMYFUNCTION("""COMPUTED_VALUE"""),"OMARDAVIDESPITIA26@GMAIL.COM,omar2253113@correo.uis.edu.co")</f>
        <v>OMARDAVIDESPITIA26@GMAIL.COM,omar2253113@correo.uis.edu.co</v>
      </c>
    </row>
    <row r="12">
      <c r="A12" s="6">
        <f>IFERROR(__xludf.DUMMYFUNCTION("""COMPUTED_VALUE"""),11.0)</f>
        <v>11</v>
      </c>
      <c r="B12" s="5" t="str">
        <f>IFERROR(__xludf.DUMMYFUNCTION("""COMPUTED_VALUE"""),"FALLA ACOSTA JUAN DIEGO")</f>
        <v>FALLA ACOSTA JUAN DIEGO</v>
      </c>
      <c r="C12" s="6">
        <f>IFERROR(__xludf.DUMMYFUNCTION("""COMPUTED_VALUE"""),3.2)</f>
        <v>3.2</v>
      </c>
      <c r="D12" s="6">
        <f>IFERROR(__xludf.DUMMYFUNCTION("""COMPUTED_VALUE"""),4.2)</f>
        <v>4.2</v>
      </c>
      <c r="E12" s="6">
        <f>IFERROR(__xludf.DUMMYFUNCTION("""COMPUTED_VALUE"""),1.5)</f>
        <v>1.5</v>
      </c>
      <c r="F12" s="7">
        <f>IFERROR(__xludf.DUMMYFUNCTION("""COMPUTED_VALUE"""),2.9)</f>
        <v>2.9</v>
      </c>
      <c r="G12" s="6">
        <f>IFERROR(__xludf.DUMMYFUNCTION("""COMPUTED_VALUE"""),4.1)</f>
        <v>4.1</v>
      </c>
      <c r="H12" s="6">
        <f>IFERROR(__xludf.DUMMYFUNCTION("""COMPUTED_VALUE"""),2.0)</f>
        <v>2</v>
      </c>
      <c r="I12" s="6">
        <f>IFERROR(__xludf.DUMMYFUNCTION("""COMPUTED_VALUE"""),0.0)</f>
        <v>0</v>
      </c>
      <c r="J12" s="6">
        <f>IFERROR(__xludf.DUMMYFUNCTION("""COMPUTED_VALUE"""),5.0)</f>
        <v>5</v>
      </c>
      <c r="K12" s="6">
        <f>IFERROR(__xludf.DUMMYFUNCTION("""COMPUTED_VALUE"""),0.0)</f>
        <v>0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IFERROR(__xludf.DUMMYFUNCTION("""COMPUTED_VALUE"""),0.0)</f>
        <v>0</v>
      </c>
      <c r="P12" s="6">
        <f>IFERROR(__xludf.DUMMYFUNCTION("""COMPUTED_VALUE"""),0.0)</f>
        <v>0</v>
      </c>
      <c r="Q12" s="6">
        <f>IFERROR(__xludf.DUMMYFUNCTION("""COMPUTED_VALUE"""),5.0)</f>
        <v>5</v>
      </c>
      <c r="R12" s="6">
        <f>IFERROR(__xludf.DUMMYFUNCTION("""COMPUTED_VALUE"""),4.5)</f>
        <v>4.5</v>
      </c>
      <c r="S12" s="6">
        <f>IFERROR(__xludf.DUMMYFUNCTION("""COMPUTED_VALUE"""),5.0)</f>
        <v>5</v>
      </c>
      <c r="T12" s="8">
        <f>IFERROR(__xludf.DUMMYFUNCTION("""COMPUTED_VALUE"""),3.05)</f>
        <v>3.05</v>
      </c>
      <c r="U12" s="9">
        <f>IFERROR(__xludf.DUMMYFUNCTION("""COMPUTED_VALUE"""),1.0166666666666666)</f>
        <v>1.016666667</v>
      </c>
      <c r="V12" s="6"/>
      <c r="W12" s="6"/>
      <c r="X12" s="6"/>
      <c r="Y12" s="5"/>
      <c r="Z12" s="5">
        <f>IFERROR(__xludf.DUMMYFUNCTION("""COMPUTED_VALUE"""),2252452.0)</f>
        <v>2252452</v>
      </c>
      <c r="AA12" s="5" t="str">
        <f>IFERROR(__xludf.DUMMYFUNCTION("""COMPUTED_VALUE"""),"FALLAR73AC@GMAIL.COM,juan2252452@correo.uis.edu.co")</f>
        <v>FALLAR73AC@GMAIL.COM,juan2252452@correo.uis.edu.co</v>
      </c>
    </row>
    <row r="13">
      <c r="A13" s="6">
        <f>IFERROR(__xludf.DUMMYFUNCTION("""COMPUTED_VALUE"""),12.0)</f>
        <v>12</v>
      </c>
      <c r="B13" s="5" t="str">
        <f>IFERROR(__xludf.DUMMYFUNCTION("""COMPUTED_VALUE"""),"FORERO GONZALEZ JOSE LUIS")</f>
        <v>FORERO GONZALEZ JOSE LUIS</v>
      </c>
      <c r="C13" s="6">
        <f>IFERROR(__xludf.DUMMYFUNCTION("""COMPUTED_VALUE"""),1.5)</f>
        <v>1.5</v>
      </c>
      <c r="D13" s="6">
        <f>IFERROR(__xludf.DUMMYFUNCTION("""COMPUTED_VALUE"""),0.0)</f>
        <v>0</v>
      </c>
      <c r="E13" s="6">
        <f>IFERROR(__xludf.DUMMYFUNCTION("""COMPUTED_VALUE"""),1.0)</f>
        <v>1</v>
      </c>
      <c r="F13" s="7">
        <f>IFERROR(__xludf.DUMMYFUNCTION("""COMPUTED_VALUE"""),4.1)</f>
        <v>4.1</v>
      </c>
      <c r="G13" s="6">
        <f>IFERROR(__xludf.DUMMYFUNCTION("""COMPUTED_VALUE"""),3.3)</f>
        <v>3.3</v>
      </c>
      <c r="H13" s="6">
        <f>IFERROR(__xludf.DUMMYFUNCTION("""COMPUTED_VALUE"""),2.0)</f>
        <v>2</v>
      </c>
      <c r="I13" s="6">
        <f>IFERROR(__xludf.DUMMYFUNCTION("""COMPUTED_VALUE"""),3.4)</f>
        <v>3.4</v>
      </c>
      <c r="J13" s="6">
        <f>IFERROR(__xludf.DUMMYFUNCTION("""COMPUTED_VALUE"""),0.0)</f>
        <v>0</v>
      </c>
      <c r="K13" s="6">
        <f>IFERROR(__xludf.DUMMYFUNCTION("""COMPUTED_VALUE"""),0.0)</f>
        <v>0</v>
      </c>
      <c r="L13" s="6">
        <f>IFERROR(__xludf.DUMMYFUNCTION("""COMPUTED_VALUE"""),0.0)</f>
        <v>0</v>
      </c>
      <c r="M13" s="6">
        <f>IFERROR(__xludf.DUMMYFUNCTION("""COMPUTED_VALUE"""),0.0)</f>
        <v>0</v>
      </c>
      <c r="N13" s="6">
        <f>IFERROR(__xludf.DUMMYFUNCTION("""COMPUTED_VALUE"""),0.0)</f>
        <v>0</v>
      </c>
      <c r="O13" s="6">
        <f>IFERROR(__xludf.DUMMYFUNCTION("""COMPUTED_VALUE"""),4.0)</f>
        <v>4</v>
      </c>
      <c r="P13" s="6">
        <f>IFERROR(__xludf.DUMMYFUNCTION("""COMPUTED_VALUE"""),5.0)</f>
        <v>5</v>
      </c>
      <c r="Q13" s="6">
        <f>IFERROR(__xludf.DUMMYFUNCTION("""COMPUTED_VALUE"""),5.0)</f>
        <v>5</v>
      </c>
      <c r="R13" s="6">
        <f>IFERROR(__xludf.DUMMYFUNCTION("""COMPUTED_VALUE"""),5.0)</f>
        <v>5</v>
      </c>
      <c r="S13" s="6">
        <f>IFERROR(__xludf.DUMMYFUNCTION("""COMPUTED_VALUE"""),5.0)</f>
        <v>5</v>
      </c>
      <c r="T13" s="8">
        <f>IFERROR(__xludf.DUMMYFUNCTION("""COMPUTED_VALUE"""),1.8649999999999998)</f>
        <v>1.865</v>
      </c>
      <c r="U13" s="9">
        <f>IFERROR(__xludf.DUMMYFUNCTION("""COMPUTED_VALUE"""),0.6216666666666666)</f>
        <v>0.6216666667</v>
      </c>
      <c r="V13" s="6"/>
      <c r="W13" s="6"/>
      <c r="X13" s="6"/>
      <c r="Y13" s="5"/>
      <c r="Z13" s="5">
        <f>IFERROR(__xludf.DUMMYFUNCTION("""COMPUTED_VALUE"""),2251568.0)</f>
        <v>2251568</v>
      </c>
      <c r="AA13" s="5" t="str">
        <f>IFERROR(__xludf.DUMMYFUNCTION("""COMPUTED_VALUE"""),"joseluisforero36@gmail.com,jose2251568@correo.uis.edu.co")</f>
        <v>joseluisforero36@gmail.com,jose2251568@correo.uis.edu.co</v>
      </c>
    </row>
    <row r="14">
      <c r="A14" s="6">
        <f>IFERROR(__xludf.DUMMYFUNCTION("""COMPUTED_VALUE"""),13.0)</f>
        <v>13</v>
      </c>
      <c r="B14" s="5" t="str">
        <f>IFERROR(__xludf.DUMMYFUNCTION("""COMPUTED_VALUE"""),"GOMEZ CHAPARRO MIGUEL ANGEL")</f>
        <v>GOMEZ CHAPARRO MIGUEL ANGEL</v>
      </c>
      <c r="C14" s="6">
        <f>IFERROR(__xludf.DUMMYFUNCTION("""COMPUTED_VALUE"""),4.7)</f>
        <v>4.7</v>
      </c>
      <c r="D14" s="6">
        <f>IFERROR(__xludf.DUMMYFUNCTION("""COMPUTED_VALUE"""),5.0)</f>
        <v>5</v>
      </c>
      <c r="E14" s="6">
        <f>IFERROR(__xludf.DUMMYFUNCTION("""COMPUTED_VALUE"""),2.3)</f>
        <v>2.3</v>
      </c>
      <c r="F14" s="7">
        <f>IFERROR(__xludf.DUMMYFUNCTION("""COMPUTED_VALUE"""),5.0)</f>
        <v>5</v>
      </c>
      <c r="G14" s="6">
        <f>IFERROR(__xludf.DUMMYFUNCTION("""COMPUTED_VALUE"""),4.7)</f>
        <v>4.7</v>
      </c>
      <c r="H14" s="6">
        <f>IFERROR(__xludf.DUMMYFUNCTION("""COMPUTED_VALUE"""),3.0)</f>
        <v>3</v>
      </c>
      <c r="I14" s="6">
        <f>IFERROR(__xludf.DUMMYFUNCTION("""COMPUTED_VALUE"""),3.4)</f>
        <v>3.4</v>
      </c>
      <c r="J14" s="6">
        <f>IFERROR(__xludf.DUMMYFUNCTION("""COMPUTED_VALUE"""),4.4)</f>
        <v>4.4</v>
      </c>
      <c r="K14" s="6">
        <f>IFERROR(__xludf.DUMMYFUNCTION("""COMPUTED_VALUE"""),0.0)</f>
        <v>0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IFERROR(__xludf.DUMMYFUNCTION("""COMPUTED_VALUE"""),4.0)</f>
        <v>4</v>
      </c>
      <c r="P14" s="6">
        <f>IFERROR(__xludf.DUMMYFUNCTION("""COMPUTED_VALUE"""),4.0)</f>
        <v>4</v>
      </c>
      <c r="Q14" s="6">
        <f>IFERROR(__xludf.DUMMYFUNCTION("""COMPUTED_VALUE"""),5.0)</f>
        <v>5</v>
      </c>
      <c r="R14" s="6">
        <f>IFERROR(__xludf.DUMMYFUNCTION("""COMPUTED_VALUE"""),5.0)</f>
        <v>5</v>
      </c>
      <c r="S14" s="6">
        <f>IFERROR(__xludf.DUMMYFUNCTION("""COMPUTED_VALUE"""),5.0)</f>
        <v>5</v>
      </c>
      <c r="T14" s="8">
        <f>IFERROR(__xludf.DUMMYFUNCTION("""COMPUTED_VALUE"""),4.22)</f>
        <v>4.22</v>
      </c>
      <c r="U14" s="9">
        <f>IFERROR(__xludf.DUMMYFUNCTION("""COMPUTED_VALUE"""),1.4066666666666665)</f>
        <v>1.406666667</v>
      </c>
      <c r="V14" s="6"/>
      <c r="W14" s="6"/>
      <c r="X14" s="6"/>
      <c r="Y14" s="5"/>
      <c r="Z14" s="5">
        <f>IFERROR(__xludf.DUMMYFUNCTION("""COMPUTED_VALUE"""),2242408.0)</f>
        <v>2242408</v>
      </c>
      <c r="AA14" s="5" t="str">
        <f>IFERROR(__xludf.DUMMYFUNCTION("""COMPUTED_VALUE"""),"shurikenxd12@gmail.com,miguel2242408@correo.uis.edu.co")</f>
        <v>shurikenxd12@gmail.com,miguel2242408@correo.uis.edu.co</v>
      </c>
    </row>
    <row r="15">
      <c r="A15" s="6">
        <f>IFERROR(__xludf.DUMMYFUNCTION("""COMPUTED_VALUE"""),14.0)</f>
        <v>14</v>
      </c>
      <c r="B15" s="5" t="str">
        <f>IFERROR(__xludf.DUMMYFUNCTION("""COMPUTED_VALUE"""),"HERNANDEZ JAUREGUI DANIELA MARIA")</f>
        <v>HERNANDEZ JAUREGUI DANIELA MARIA</v>
      </c>
      <c r="C15" s="6">
        <f>IFERROR(__xludf.DUMMYFUNCTION("""COMPUTED_VALUE"""),3.3)</f>
        <v>3.3</v>
      </c>
      <c r="D15" s="6">
        <f>IFERROR(__xludf.DUMMYFUNCTION("""COMPUTED_VALUE"""),5.0)</f>
        <v>5</v>
      </c>
      <c r="E15" s="6">
        <f>IFERROR(__xludf.DUMMYFUNCTION("""COMPUTED_VALUE"""),1.0)</f>
        <v>1</v>
      </c>
      <c r="F15" s="7">
        <f>IFERROR(__xludf.DUMMYFUNCTION("""COMPUTED_VALUE"""),3.9)</f>
        <v>3.9</v>
      </c>
      <c r="G15" s="6">
        <f>IFERROR(__xludf.DUMMYFUNCTION("""COMPUTED_VALUE"""),4.1)</f>
        <v>4.1</v>
      </c>
      <c r="H15" s="6">
        <f>IFERROR(__xludf.DUMMYFUNCTION("""COMPUTED_VALUE"""),4.6)</f>
        <v>4.6</v>
      </c>
      <c r="I15" s="6">
        <f>IFERROR(__xludf.DUMMYFUNCTION("""COMPUTED_VALUE"""),5.0)</f>
        <v>5</v>
      </c>
      <c r="J15" s="6">
        <f>IFERROR(__xludf.DUMMYFUNCTION("""COMPUTED_VALUE"""),4.4)</f>
        <v>4.4</v>
      </c>
      <c r="K15" s="6">
        <f>IFERROR(__xludf.DUMMYFUNCTION("""COMPUTED_VALUE"""),0.0)</f>
        <v>0</v>
      </c>
      <c r="L15" s="6">
        <f>IFERROR(__xludf.DUMMYFUNCTION("""COMPUTED_VALUE"""),3.2)</f>
        <v>3.2</v>
      </c>
      <c r="M15" s="6">
        <f>IFERROR(__xludf.DUMMYFUNCTION("""COMPUTED_VALUE"""),5.0)</f>
        <v>5</v>
      </c>
      <c r="N15" s="6">
        <f>IFERROR(__xludf.DUMMYFUNCTION("""COMPUTED_VALUE"""),0.0)</f>
        <v>0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/>
      <c r="R15" s="6">
        <f>IFERROR(__xludf.DUMMYFUNCTION("""COMPUTED_VALUE"""),0.0)</f>
        <v>0</v>
      </c>
      <c r="S15" s="6">
        <f>IFERROR(__xludf.DUMMYFUNCTION("""COMPUTED_VALUE"""),5.0)</f>
        <v>5</v>
      </c>
      <c r="T15" s="8">
        <f>IFERROR(__xludf.DUMMYFUNCTION("""COMPUTED_VALUE"""),3.305)</f>
        <v>3.305</v>
      </c>
      <c r="U15" s="9">
        <f>IFERROR(__xludf.DUMMYFUNCTION("""COMPUTED_VALUE"""),1.1016666666666668)</f>
        <v>1.101666667</v>
      </c>
      <c r="V15" s="6"/>
      <c r="W15" s="6"/>
      <c r="X15" s="6"/>
      <c r="Y15" s="5"/>
      <c r="Z15" s="5">
        <f>IFERROR(__xludf.DUMMYFUNCTION("""COMPUTED_VALUE"""),2250506.0)</f>
        <v>2250506</v>
      </c>
      <c r="AA15" s="5" t="str">
        <f>IFERROR(__xludf.DUMMYFUNCTION("""COMPUTED_VALUE"""),"damaheja@gmail.com,daniela2250506@correo.uis.edu.co")</f>
        <v>damaheja@gmail.com,daniela2250506@correo.uis.edu.co</v>
      </c>
    </row>
    <row r="16">
      <c r="A16" s="6">
        <f>IFERROR(__xludf.DUMMYFUNCTION("""COMPUTED_VALUE"""),15.0)</f>
        <v>15</v>
      </c>
      <c r="B16" s="5" t="str">
        <f>IFERROR(__xludf.DUMMYFUNCTION("""COMPUTED_VALUE"""),"LOPEZ SOLANO ALEX DUVAN")</f>
        <v>LOPEZ SOLANO ALEX DUVAN</v>
      </c>
      <c r="C16" s="6">
        <f>IFERROR(__xludf.DUMMYFUNCTION("""COMPUTED_VALUE"""),4.1)</f>
        <v>4.1</v>
      </c>
      <c r="D16" s="6">
        <f>IFERROR(__xludf.DUMMYFUNCTION("""COMPUTED_VALUE"""),5.0)</f>
        <v>5</v>
      </c>
      <c r="E16" s="6">
        <f>IFERROR(__xludf.DUMMYFUNCTION("""COMPUTED_VALUE"""),1.3)</f>
        <v>1.3</v>
      </c>
      <c r="F16" s="7">
        <f>IFERROR(__xludf.DUMMYFUNCTION("""COMPUTED_VALUE"""),5.0)</f>
        <v>5</v>
      </c>
      <c r="G16" s="6">
        <f>IFERROR(__xludf.DUMMYFUNCTION("""COMPUTED_VALUE"""),4.3)</f>
        <v>4.3</v>
      </c>
      <c r="H16" s="6">
        <f>IFERROR(__xludf.DUMMYFUNCTION("""COMPUTED_VALUE"""),2.5)</f>
        <v>2.5</v>
      </c>
      <c r="I16" s="6">
        <f>IFERROR(__xludf.DUMMYFUNCTION("""COMPUTED_VALUE"""),4.0)</f>
        <v>4</v>
      </c>
      <c r="J16" s="6">
        <f>IFERROR(__xludf.DUMMYFUNCTION("""COMPUTED_VALUE"""),3.4)</f>
        <v>3.4</v>
      </c>
      <c r="K16" s="6">
        <f>IFERROR(__xludf.DUMMYFUNCTION("""COMPUTED_VALUE"""),3.0)</f>
        <v>3</v>
      </c>
      <c r="L16" s="6">
        <f>IFERROR(__xludf.DUMMYFUNCTION("""COMPUTED_VALUE"""),5.0)</f>
        <v>5</v>
      </c>
      <c r="M16" s="6">
        <f>IFERROR(__xludf.DUMMYFUNCTION("""COMPUTED_VALUE"""),4.0)</f>
        <v>4</v>
      </c>
      <c r="N16" s="6">
        <f>IFERROR(__xludf.DUMMYFUNCTION("""COMPUTED_VALUE"""),0.0)</f>
        <v>0</v>
      </c>
      <c r="O16" s="6">
        <f>IFERROR(__xludf.DUMMYFUNCTION("""COMPUTED_VALUE"""),4.0)</f>
        <v>4</v>
      </c>
      <c r="P16" s="6">
        <f>IFERROR(__xludf.DUMMYFUNCTION("""COMPUTED_VALUE"""),5.0)</f>
        <v>5</v>
      </c>
      <c r="Q16" s="6">
        <f>IFERROR(__xludf.DUMMYFUNCTION("""COMPUTED_VALUE"""),0.0)</f>
        <v>0</v>
      </c>
      <c r="R16" s="6">
        <f>IFERROR(__xludf.DUMMYFUNCTION("""COMPUTED_VALUE"""),5.0)</f>
        <v>5</v>
      </c>
      <c r="S16" s="6">
        <f>IFERROR(__xludf.DUMMYFUNCTION("""COMPUTED_VALUE"""),5.0)</f>
        <v>5</v>
      </c>
      <c r="T16" s="8">
        <f>IFERROR(__xludf.DUMMYFUNCTION("""COMPUTED_VALUE"""),3.7900000000000005)</f>
        <v>3.79</v>
      </c>
      <c r="U16" s="9">
        <f>IFERROR(__xludf.DUMMYFUNCTION("""COMPUTED_VALUE"""),1.2633333333333334)</f>
        <v>1.263333333</v>
      </c>
      <c r="V16" s="6"/>
      <c r="W16" s="6"/>
      <c r="X16" s="6"/>
      <c r="Y16" s="5"/>
      <c r="Z16" s="5">
        <f>IFERROR(__xludf.DUMMYFUNCTION("""COMPUTED_VALUE"""),2242040.0)</f>
        <v>2242040</v>
      </c>
      <c r="AA16" s="5" t="str">
        <f>IFERROR(__xludf.DUMMYFUNCTION("""COMPUTED_VALUE"""),"alexduvanlopezsolano@gmail.com,alex2242040@correo.uis.edu.co")</f>
        <v>alexduvanlopezsolano@gmail.com,alex2242040@correo.uis.edu.co</v>
      </c>
    </row>
    <row r="17">
      <c r="A17" s="6">
        <f>IFERROR(__xludf.DUMMYFUNCTION("""COMPUTED_VALUE"""),16.0)</f>
        <v>16</v>
      </c>
      <c r="B17" s="5" t="str">
        <f>IFERROR(__xludf.DUMMYFUNCTION("""COMPUTED_VALUE"""),"MORANTES ARENAS SAMUEL CRISTOBAL")</f>
        <v>MORANTES ARENAS SAMUEL CRISTOBAL</v>
      </c>
      <c r="C17" s="6">
        <f>IFERROR(__xludf.DUMMYFUNCTION("""COMPUTED_VALUE"""),2.0)</f>
        <v>2</v>
      </c>
      <c r="D17" s="6">
        <f>IFERROR(__xludf.DUMMYFUNCTION("""COMPUTED_VALUE"""),3.6)</f>
        <v>3.6</v>
      </c>
      <c r="E17" s="6">
        <f>IFERROR(__xludf.DUMMYFUNCTION("""COMPUTED_VALUE"""),1.5)</f>
        <v>1.5</v>
      </c>
      <c r="F17" s="7">
        <f>IFERROR(__xludf.DUMMYFUNCTION("""COMPUTED_VALUE"""),5.0)</f>
        <v>5</v>
      </c>
      <c r="G17" s="6">
        <f>IFERROR(__xludf.DUMMYFUNCTION("""COMPUTED_VALUE"""),5.0)</f>
        <v>5</v>
      </c>
      <c r="H17" s="6">
        <f>IFERROR(__xludf.DUMMYFUNCTION("""COMPUTED_VALUE"""),2.0)</f>
        <v>2</v>
      </c>
      <c r="I17" s="6">
        <f>IFERROR(__xludf.DUMMYFUNCTION("""COMPUTED_VALUE"""),5.0)</f>
        <v>5</v>
      </c>
      <c r="J17" s="6">
        <f>IFERROR(__xludf.DUMMYFUNCTION("""COMPUTED_VALUE"""),5.0)</f>
        <v>5</v>
      </c>
      <c r="K17" s="6">
        <f>IFERROR(__xludf.DUMMYFUNCTION("""COMPUTED_VALUE"""),0.0)</f>
        <v>0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IFERROR(__xludf.DUMMYFUNCTION("""COMPUTED_VALUE"""),5.0)</f>
        <v>5</v>
      </c>
      <c r="P17" s="6">
        <f>IFERROR(__xludf.DUMMYFUNCTION("""COMPUTED_VALUE"""),5.0)</f>
        <v>5</v>
      </c>
      <c r="Q17" s="6">
        <f>IFERROR(__xludf.DUMMYFUNCTION("""COMPUTED_VALUE"""),5.0)</f>
        <v>5</v>
      </c>
      <c r="R17" s="6">
        <f>IFERROR(__xludf.DUMMYFUNCTION("""COMPUTED_VALUE"""),5.0)</f>
        <v>5</v>
      </c>
      <c r="S17" s="6">
        <f>IFERROR(__xludf.DUMMYFUNCTION("""COMPUTED_VALUE"""),5.0)</f>
        <v>5</v>
      </c>
      <c r="T17" s="8">
        <f>IFERROR(__xludf.DUMMYFUNCTION("""COMPUTED_VALUE"""),3.245)</f>
        <v>3.245</v>
      </c>
      <c r="U17" s="9">
        <f>IFERROR(__xludf.DUMMYFUNCTION("""COMPUTED_VALUE"""),1.0816666666666668)</f>
        <v>1.081666667</v>
      </c>
      <c r="V17" s="6"/>
      <c r="W17" s="6"/>
      <c r="X17" s="6"/>
      <c r="Y17" s="5"/>
      <c r="Z17" s="5">
        <f>IFERROR(__xludf.DUMMYFUNCTION("""COMPUTED_VALUE"""),2251822.0)</f>
        <v>2251822</v>
      </c>
      <c r="AA17" s="5" t="str">
        <f>IFERROR(__xludf.DUMMYFUNCTION("""COMPUTED_VALUE"""),"smorantes09@gmail.com,samuel2251822@correo.uis.edu.co")</f>
        <v>smorantes09@gmail.com,samuel2251822@correo.uis.edu.co</v>
      </c>
    </row>
    <row r="18">
      <c r="A18" s="6">
        <f>IFERROR(__xludf.DUMMYFUNCTION("""COMPUTED_VALUE"""),17.0)</f>
        <v>17</v>
      </c>
      <c r="B18" s="5" t="str">
        <f>IFERROR(__xludf.DUMMYFUNCTION("""COMPUTED_VALUE"""),"OJEDA GONZALEZ JESUS SANTIAGO")</f>
        <v>OJEDA GONZALEZ JESUS SANTIAGO</v>
      </c>
      <c r="C18" s="6">
        <f>IFERROR(__xludf.DUMMYFUNCTION("""COMPUTED_VALUE"""),3.7)</f>
        <v>3.7</v>
      </c>
      <c r="D18" s="6">
        <f>IFERROR(__xludf.DUMMYFUNCTION("""COMPUTED_VALUE"""),5.0)</f>
        <v>5</v>
      </c>
      <c r="E18" s="6">
        <f>IFERROR(__xludf.DUMMYFUNCTION("""COMPUTED_VALUE"""),1.5)</f>
        <v>1.5</v>
      </c>
      <c r="F18" s="7">
        <f>IFERROR(__xludf.DUMMYFUNCTION("""COMPUTED_VALUE"""),5.0)</f>
        <v>5</v>
      </c>
      <c r="G18" s="6">
        <f>IFERROR(__xludf.DUMMYFUNCTION("""COMPUTED_VALUE"""),5.0)</f>
        <v>5</v>
      </c>
      <c r="H18" s="6">
        <f>IFERROR(__xludf.DUMMYFUNCTION("""COMPUTED_VALUE"""),4.5)</f>
        <v>4.5</v>
      </c>
      <c r="I18" s="6">
        <f>IFERROR(__xludf.DUMMYFUNCTION("""COMPUTED_VALUE"""),5.0)</f>
        <v>5</v>
      </c>
      <c r="J18" s="6">
        <f>IFERROR(__xludf.DUMMYFUNCTION("""COMPUTED_VALUE"""),5.0)</f>
        <v>5</v>
      </c>
      <c r="K18" s="6">
        <f>IFERROR(__xludf.DUMMYFUNCTION("""COMPUTED_VALUE"""),0.0)</f>
        <v>0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IFERROR(__xludf.DUMMYFUNCTION("""COMPUTED_VALUE"""),5.0)</f>
        <v>5</v>
      </c>
      <c r="P18" s="6">
        <f>IFERROR(__xludf.DUMMYFUNCTION("""COMPUTED_VALUE"""),5.0)</f>
        <v>5</v>
      </c>
      <c r="Q18" s="6">
        <f>IFERROR(__xludf.DUMMYFUNCTION("""COMPUTED_VALUE"""),5.0)</f>
        <v>5</v>
      </c>
      <c r="R18" s="6">
        <f>IFERROR(__xludf.DUMMYFUNCTION("""COMPUTED_VALUE"""),5.0)</f>
        <v>5</v>
      </c>
      <c r="S18" s="6">
        <f>IFERROR(__xludf.DUMMYFUNCTION("""COMPUTED_VALUE"""),0.0)</f>
        <v>0</v>
      </c>
      <c r="T18" s="8">
        <f>IFERROR(__xludf.DUMMYFUNCTION("""COMPUTED_VALUE"""),3.865)</f>
        <v>3.865</v>
      </c>
      <c r="U18" s="9">
        <f>IFERROR(__xludf.DUMMYFUNCTION("""COMPUTED_VALUE"""),1.2883333333333333)</f>
        <v>1.288333333</v>
      </c>
      <c r="V18" s="6"/>
      <c r="W18" s="6"/>
      <c r="X18" s="6"/>
      <c r="Y18" s="5"/>
      <c r="Z18" s="5">
        <f>IFERROR(__xludf.DUMMYFUNCTION("""COMPUTED_VALUE"""),2250810.0)</f>
        <v>2250810</v>
      </c>
      <c r="AA18" s="5" t="str">
        <f>IFERROR(__xludf.DUMMYFUNCTION("""COMPUTED_VALUE"""),"jesusojedagonza.7@gmail.com,jesus2250810@correo.uis.edu.co")</f>
        <v>jesusojedagonza.7@gmail.com,jesus2250810@correo.uis.edu.co</v>
      </c>
    </row>
    <row r="19">
      <c r="A19" s="6">
        <f>IFERROR(__xludf.DUMMYFUNCTION("""COMPUTED_VALUE"""),18.0)</f>
        <v>18</v>
      </c>
      <c r="B19" s="5" t="str">
        <f>IFERROR(__xludf.DUMMYFUNCTION("""COMPUTED_VALUE"""),"PARADA CONTRERAS ENDER JOSUE")</f>
        <v>PARADA CONTRERAS ENDER JOSUE</v>
      </c>
      <c r="C19" s="6">
        <f>IFERROR(__xludf.DUMMYFUNCTION("""COMPUTED_VALUE"""),3.2)</f>
        <v>3.2</v>
      </c>
      <c r="D19" s="6">
        <f>IFERROR(__xludf.DUMMYFUNCTION("""COMPUTED_VALUE"""),3.0)</f>
        <v>3</v>
      </c>
      <c r="E19" s="6">
        <f>IFERROR(__xludf.DUMMYFUNCTION("""COMPUTED_VALUE"""),2.0)</f>
        <v>2</v>
      </c>
      <c r="F19" s="7">
        <f>IFERROR(__xludf.DUMMYFUNCTION("""COMPUTED_VALUE"""),5.0)</f>
        <v>5</v>
      </c>
      <c r="G19" s="6">
        <f>IFERROR(__xludf.DUMMYFUNCTION("""COMPUTED_VALUE"""),4.8)</f>
        <v>4.8</v>
      </c>
      <c r="H19" s="6">
        <f>IFERROR(__xludf.DUMMYFUNCTION("""COMPUTED_VALUE"""),3.5)</f>
        <v>3.5</v>
      </c>
      <c r="I19" s="6">
        <f>IFERROR(__xludf.DUMMYFUNCTION("""COMPUTED_VALUE"""),3.4)</f>
        <v>3.4</v>
      </c>
      <c r="J19" s="6">
        <f>IFERROR(__xludf.DUMMYFUNCTION("""COMPUTED_VALUE"""),4.4)</f>
        <v>4.4</v>
      </c>
      <c r="K19" s="6">
        <f>IFERROR(__xludf.DUMMYFUNCTION("""COMPUTED_VALUE"""),0.0)</f>
        <v>0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IFERROR(__xludf.DUMMYFUNCTION("""COMPUTED_VALUE"""),4.0)</f>
        <v>4</v>
      </c>
      <c r="P19" s="6">
        <f>IFERROR(__xludf.DUMMYFUNCTION("""COMPUTED_VALUE"""),5.0)</f>
        <v>5</v>
      </c>
      <c r="Q19" s="6">
        <f>IFERROR(__xludf.DUMMYFUNCTION("""COMPUTED_VALUE"""),5.0)</f>
        <v>5</v>
      </c>
      <c r="R19" s="6">
        <f>IFERROR(__xludf.DUMMYFUNCTION("""COMPUTED_VALUE"""),5.0)</f>
        <v>5</v>
      </c>
      <c r="S19" s="6">
        <f>IFERROR(__xludf.DUMMYFUNCTION("""COMPUTED_VALUE"""),5.0)</f>
        <v>5</v>
      </c>
      <c r="T19" s="8">
        <f>IFERROR(__xludf.DUMMYFUNCTION("""COMPUTED_VALUE"""),3.46)</f>
        <v>3.46</v>
      </c>
      <c r="U19" s="9">
        <f>IFERROR(__xludf.DUMMYFUNCTION("""COMPUTED_VALUE"""),1.1533333333333333)</f>
        <v>1.153333333</v>
      </c>
      <c r="V19" s="6"/>
      <c r="W19" s="6"/>
      <c r="X19" s="6"/>
      <c r="Y19" s="5"/>
      <c r="Z19" s="5">
        <f>IFERROR(__xludf.DUMMYFUNCTION("""COMPUTED_VALUE"""),2242515.0)</f>
        <v>2242515</v>
      </c>
      <c r="AA19" s="5" t="str">
        <f>IFERROR(__xludf.DUMMYFUNCTION("""COMPUTED_VALUE"""),"ENDERPARADA2008@GMAIL.COM,ender2242515@correo.uis.edu.co")</f>
        <v>ENDERPARADA2008@GMAIL.COM,ender2242515@correo.uis.edu.co</v>
      </c>
    </row>
    <row r="20">
      <c r="A20" s="6">
        <f>IFERROR(__xludf.DUMMYFUNCTION("""COMPUTED_VALUE"""),19.0)</f>
        <v>19</v>
      </c>
      <c r="B20" s="5" t="str">
        <f>IFERROR(__xludf.DUMMYFUNCTION("""COMPUTED_VALUE"""),"PARDO FUENTES JUAN DAVID")</f>
        <v>PARDO FUENTES JUAN DAVID</v>
      </c>
      <c r="C20" s="6">
        <f>IFERROR(__xludf.DUMMYFUNCTION("""COMPUTED_VALUE"""),4.9)</f>
        <v>4.9</v>
      </c>
      <c r="D20" s="6">
        <f>IFERROR(__xludf.DUMMYFUNCTION("""COMPUTED_VALUE"""),5.0)</f>
        <v>5</v>
      </c>
      <c r="E20" s="6">
        <f>IFERROR(__xludf.DUMMYFUNCTION("""COMPUTED_VALUE"""),2.4)</f>
        <v>2.4</v>
      </c>
      <c r="F20" s="7">
        <f>IFERROR(__xludf.DUMMYFUNCTION("""COMPUTED_VALUE"""),5.0)</f>
        <v>5</v>
      </c>
      <c r="G20" s="6">
        <f>IFERROR(__xludf.DUMMYFUNCTION("""COMPUTED_VALUE"""),4.6)</f>
        <v>4.6</v>
      </c>
      <c r="H20" s="6">
        <f>IFERROR(__xludf.DUMMYFUNCTION("""COMPUTED_VALUE"""),3.5)</f>
        <v>3.5</v>
      </c>
      <c r="I20" s="6">
        <f>IFERROR(__xludf.DUMMYFUNCTION("""COMPUTED_VALUE"""),3.4)</f>
        <v>3.4</v>
      </c>
      <c r="J20" s="6">
        <f>IFERROR(__xludf.DUMMYFUNCTION("""COMPUTED_VALUE"""),3.5)</f>
        <v>3.5</v>
      </c>
      <c r="K20" s="6">
        <f>IFERROR(__xludf.DUMMYFUNCTION("""COMPUTED_VALUE"""),0.0)</f>
        <v>0</v>
      </c>
      <c r="L20" s="6">
        <f>IFERROR(__xludf.DUMMYFUNCTION("""COMPUTED_VALUE"""),4.5)</f>
        <v>4.5</v>
      </c>
      <c r="M20" s="6">
        <f>IFERROR(__xludf.DUMMYFUNCTION("""COMPUTED_VALUE"""),5.0)</f>
        <v>5</v>
      </c>
      <c r="N20" s="6">
        <f>IFERROR(__xludf.DUMMYFUNCTION("""COMPUTED_VALUE"""),5.0)</f>
        <v>5</v>
      </c>
      <c r="O20" s="6">
        <f>IFERROR(__xludf.DUMMYFUNCTION("""COMPUTED_VALUE"""),3.0)</f>
        <v>3</v>
      </c>
      <c r="P20" s="6">
        <f>IFERROR(__xludf.DUMMYFUNCTION("""COMPUTED_VALUE"""),5.0)</f>
        <v>5</v>
      </c>
      <c r="Q20" s="6">
        <f>IFERROR(__xludf.DUMMYFUNCTION("""COMPUTED_VALUE"""),5.0)</f>
        <v>5</v>
      </c>
      <c r="R20" s="6">
        <f>IFERROR(__xludf.DUMMYFUNCTION("""COMPUTED_VALUE"""),5.0)</f>
        <v>5</v>
      </c>
      <c r="S20" s="6">
        <f>IFERROR(__xludf.DUMMYFUNCTION("""COMPUTED_VALUE"""),5.0)</f>
        <v>5</v>
      </c>
      <c r="T20" s="8">
        <f>IFERROR(__xludf.DUMMYFUNCTION("""COMPUTED_VALUE"""),4.2700000000000005)</f>
        <v>4.27</v>
      </c>
      <c r="U20" s="9">
        <f>IFERROR(__xludf.DUMMYFUNCTION("""COMPUTED_VALUE"""),1.4233333333333336)</f>
        <v>1.423333333</v>
      </c>
      <c r="V20" s="6"/>
      <c r="W20" s="6"/>
      <c r="X20" s="6"/>
      <c r="Y20" s="5"/>
      <c r="Z20" s="5">
        <f>IFERROR(__xludf.DUMMYFUNCTION("""COMPUTED_VALUE"""),2230105.0)</f>
        <v>2230105</v>
      </c>
      <c r="AA20" s="5" t="str">
        <f>IFERROR(__xludf.DUMMYFUNCTION("""COMPUTED_VALUE"""),"davidpardofuentes1604@gmail.com,juan2230105@correo.uis.edu.co")</f>
        <v>davidpardofuentes1604@gmail.com,juan2230105@correo.uis.edu.co</v>
      </c>
    </row>
    <row r="21">
      <c r="A21" s="6">
        <f>IFERROR(__xludf.DUMMYFUNCTION("""COMPUTED_VALUE"""),20.0)</f>
        <v>20</v>
      </c>
      <c r="B21" s="5" t="str">
        <f>IFERROR(__xludf.DUMMYFUNCTION("""COMPUTED_VALUE"""),"PEREZ BONILLA DAVID LEONARDO")</f>
        <v>PEREZ BONILLA DAVID LEONARDO</v>
      </c>
      <c r="C21" s="6">
        <f>IFERROR(__xludf.DUMMYFUNCTION("""COMPUTED_VALUE"""),3.7)</f>
        <v>3.7</v>
      </c>
      <c r="D21" s="6">
        <f>IFERROR(__xludf.DUMMYFUNCTION("""COMPUTED_VALUE"""),5.0)</f>
        <v>5</v>
      </c>
      <c r="E21" s="6">
        <f>IFERROR(__xludf.DUMMYFUNCTION("""COMPUTED_VALUE"""),2.2)</f>
        <v>2.2</v>
      </c>
      <c r="F21" s="7">
        <f>IFERROR(__xludf.DUMMYFUNCTION("""COMPUTED_VALUE"""),5.0)</f>
        <v>5</v>
      </c>
      <c r="G21" s="6">
        <f>IFERROR(__xludf.DUMMYFUNCTION("""COMPUTED_VALUE"""),4.8)</f>
        <v>4.8</v>
      </c>
      <c r="H21" s="6">
        <f>IFERROR(__xludf.DUMMYFUNCTION("""COMPUTED_VALUE"""),3.6)</f>
        <v>3.6</v>
      </c>
      <c r="I21" s="6">
        <f>IFERROR(__xludf.DUMMYFUNCTION("""COMPUTED_VALUE"""),5.0)</f>
        <v>5</v>
      </c>
      <c r="J21" s="6">
        <f>IFERROR(__xludf.DUMMYFUNCTION("""COMPUTED_VALUE"""),5.0)</f>
        <v>5</v>
      </c>
      <c r="K21" s="6">
        <f>IFERROR(__xludf.DUMMYFUNCTION("""COMPUTED_VALUE"""),0.0)</f>
        <v>0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IFERROR(__xludf.DUMMYFUNCTION("""COMPUTED_VALUE"""),2.0)</f>
        <v>2</v>
      </c>
      <c r="P21" s="6">
        <f>IFERROR(__xludf.DUMMYFUNCTION("""COMPUTED_VALUE"""),3.0)</f>
        <v>3</v>
      </c>
      <c r="Q21" s="6">
        <f>IFERROR(__xludf.DUMMYFUNCTION("""COMPUTED_VALUE"""),5.0)</f>
        <v>5</v>
      </c>
      <c r="R21" s="6">
        <f>IFERROR(__xludf.DUMMYFUNCTION("""COMPUTED_VALUE"""),5.0)</f>
        <v>5</v>
      </c>
      <c r="S21" s="6">
        <f>IFERROR(__xludf.DUMMYFUNCTION("""COMPUTED_VALUE"""),5.0)</f>
        <v>5</v>
      </c>
      <c r="T21" s="8">
        <f>IFERROR(__xludf.DUMMYFUNCTION("""COMPUTED_VALUE"""),4.01)</f>
        <v>4.01</v>
      </c>
      <c r="U21" s="9">
        <f>IFERROR(__xludf.DUMMYFUNCTION("""COMPUTED_VALUE"""),1.3366666666666667)</f>
        <v>1.336666667</v>
      </c>
      <c r="V21" s="6"/>
      <c r="W21" s="6"/>
      <c r="X21" s="6"/>
      <c r="Y21" s="5"/>
      <c r="Z21" s="5">
        <f>IFERROR(__xludf.DUMMYFUNCTION("""COMPUTED_VALUE"""),2242480.0)</f>
        <v>2242480</v>
      </c>
      <c r="AA21" s="5" t="str">
        <f>IFERROR(__xludf.DUMMYFUNCTION("""COMPUTED_VALUE"""),"davidpegon18@gmail.com,david2242480@correo.uis.edu.co")</f>
        <v>davidpegon18@gmail.com,david2242480@correo.uis.edu.co</v>
      </c>
    </row>
    <row r="22">
      <c r="A22" s="6">
        <f>IFERROR(__xludf.DUMMYFUNCTION("""COMPUTED_VALUE"""),21.0)</f>
        <v>21</v>
      </c>
      <c r="B22" s="5" t="str">
        <f>IFERROR(__xludf.DUMMYFUNCTION("""COMPUTED_VALUE"""),"PINTO MENESES ANDREA VALENTINA")</f>
        <v>PINTO MENESES ANDREA VALENTINA</v>
      </c>
      <c r="C22" s="6">
        <f>IFERROR(__xludf.DUMMYFUNCTION("""COMPUTED_VALUE"""),2.3)</f>
        <v>2.3</v>
      </c>
      <c r="D22" s="6">
        <f>IFERROR(__xludf.DUMMYFUNCTION("""COMPUTED_VALUE"""),3.4)</f>
        <v>3.4</v>
      </c>
      <c r="E22" s="6">
        <f>IFERROR(__xludf.DUMMYFUNCTION("""COMPUTED_VALUE"""),2.2)</f>
        <v>2.2</v>
      </c>
      <c r="F22" s="7">
        <f>IFERROR(__xludf.DUMMYFUNCTION("""COMPUTED_VALUE"""),5.0)</f>
        <v>5</v>
      </c>
      <c r="G22" s="6">
        <f>IFERROR(__xludf.DUMMYFUNCTION("""COMPUTED_VALUE"""),4.9)</f>
        <v>4.9</v>
      </c>
      <c r="H22" s="6">
        <f>IFERROR(__xludf.DUMMYFUNCTION("""COMPUTED_VALUE"""),2.4)</f>
        <v>2.4</v>
      </c>
      <c r="I22" s="6">
        <f>IFERROR(__xludf.DUMMYFUNCTION("""COMPUTED_VALUE"""),0.0)</f>
        <v>0</v>
      </c>
      <c r="J22" s="6">
        <f>IFERROR(__xludf.DUMMYFUNCTION("""COMPUTED_VALUE"""),4.4)</f>
        <v>4.4</v>
      </c>
      <c r="K22" s="6">
        <f>IFERROR(__xludf.DUMMYFUNCTION("""COMPUTED_VALUE"""),0.0)</f>
        <v>0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IFERROR(__xludf.DUMMYFUNCTION("""COMPUTED_VALUE"""),5.0)</f>
        <v>5</v>
      </c>
      <c r="O22" s="6">
        <f>IFERROR(__xludf.DUMMYFUNCTION("""COMPUTED_VALUE"""),5.0)</f>
        <v>5</v>
      </c>
      <c r="P22" s="6">
        <f>IFERROR(__xludf.DUMMYFUNCTION("""COMPUTED_VALUE"""),5.0)</f>
        <v>5</v>
      </c>
      <c r="Q22" s="6">
        <f>IFERROR(__xludf.DUMMYFUNCTION("""COMPUTED_VALUE"""),5.0)</f>
        <v>5</v>
      </c>
      <c r="R22" s="6">
        <f>IFERROR(__xludf.DUMMYFUNCTION("""COMPUTED_VALUE"""),5.0)</f>
        <v>5</v>
      </c>
      <c r="S22" s="6">
        <f>IFERROR(__xludf.DUMMYFUNCTION("""COMPUTED_VALUE"""),5.0)</f>
        <v>5</v>
      </c>
      <c r="T22" s="8">
        <f>IFERROR(__xludf.DUMMYFUNCTION("""COMPUTED_VALUE"""),3.4250000000000003)</f>
        <v>3.425</v>
      </c>
      <c r="U22" s="9">
        <f>IFERROR(__xludf.DUMMYFUNCTION("""COMPUTED_VALUE"""),1.1416666666666668)</f>
        <v>1.141666667</v>
      </c>
      <c r="V22" s="6"/>
      <c r="W22" s="6"/>
      <c r="X22" s="6"/>
      <c r="Y22" s="5"/>
      <c r="Z22" s="5">
        <f>IFERROR(__xludf.DUMMYFUNCTION("""COMPUTED_VALUE"""),2252703.0)</f>
        <v>2252703</v>
      </c>
      <c r="AA22" s="5" t="str">
        <f>IFERROR(__xludf.DUMMYFUNCTION("""COMPUTED_VALUE"""),"ANDREA.MENESES208@GMAIL.COM,andrea2252703@correo.uis.edu.co")</f>
        <v>ANDREA.MENESES208@GMAIL.COM,andrea2252703@correo.uis.edu.co</v>
      </c>
    </row>
    <row r="23">
      <c r="A23" s="6">
        <f>IFERROR(__xludf.DUMMYFUNCTION("""COMPUTED_VALUE"""),22.0)</f>
        <v>22</v>
      </c>
      <c r="B23" s="5" t="str">
        <f>IFERROR(__xludf.DUMMYFUNCTION("""COMPUTED_VALUE"""),"QUIROGA DURAN JIMMY ALBERTO")</f>
        <v>QUIROGA DURAN JIMMY ALBERTO</v>
      </c>
      <c r="C23" s="6">
        <f>IFERROR(__xludf.DUMMYFUNCTION("""COMPUTED_VALUE"""),2.4)</f>
        <v>2.4</v>
      </c>
      <c r="D23" s="6">
        <f>IFERROR(__xludf.DUMMYFUNCTION("""COMPUTED_VALUE"""),3.2)</f>
        <v>3.2</v>
      </c>
      <c r="E23" s="6">
        <f>IFERROR(__xludf.DUMMYFUNCTION("""COMPUTED_VALUE"""),2.0)</f>
        <v>2</v>
      </c>
      <c r="F23" s="7">
        <f>IFERROR(__xludf.DUMMYFUNCTION("""COMPUTED_VALUE"""),5.0)</f>
        <v>5</v>
      </c>
      <c r="G23" s="6">
        <f>IFERROR(__xludf.DUMMYFUNCTION("""COMPUTED_VALUE"""),4.9)</f>
        <v>4.9</v>
      </c>
      <c r="H23" s="6">
        <f>IFERROR(__xludf.DUMMYFUNCTION("""COMPUTED_VALUE"""),3.8)</f>
        <v>3.8</v>
      </c>
      <c r="I23" s="6">
        <f>IFERROR(__xludf.DUMMYFUNCTION("""COMPUTED_VALUE"""),0.0)</f>
        <v>0</v>
      </c>
      <c r="J23" s="6">
        <f>IFERROR(__xludf.DUMMYFUNCTION("""COMPUTED_VALUE"""),5.0)</f>
        <v>5</v>
      </c>
      <c r="K23" s="6">
        <f>IFERROR(__xludf.DUMMYFUNCTION("""COMPUTED_VALUE"""),0.0)</f>
        <v>0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IFERROR(__xludf.DUMMYFUNCTION("""COMPUTED_VALUE"""),4.0)</f>
        <v>4</v>
      </c>
      <c r="P23" s="6">
        <f>IFERROR(__xludf.DUMMYFUNCTION("""COMPUTED_VALUE"""),5.0)</f>
        <v>5</v>
      </c>
      <c r="Q23" s="6">
        <f>IFERROR(__xludf.DUMMYFUNCTION("""COMPUTED_VALUE"""),5.0)</f>
        <v>5</v>
      </c>
      <c r="R23" s="6">
        <f>IFERROR(__xludf.DUMMYFUNCTION("""COMPUTED_VALUE"""),5.0)</f>
        <v>5</v>
      </c>
      <c r="S23" s="6">
        <f>IFERROR(__xludf.DUMMYFUNCTION("""COMPUTED_VALUE"""),5.0)</f>
        <v>5</v>
      </c>
      <c r="T23" s="8">
        <f>IFERROR(__xludf.DUMMYFUNCTION("""COMPUTED_VALUE"""),3.355)</f>
        <v>3.355</v>
      </c>
      <c r="U23" s="9">
        <f>IFERROR(__xludf.DUMMYFUNCTION("""COMPUTED_VALUE"""),1.1183333333333334)</f>
        <v>1.118333333</v>
      </c>
      <c r="V23" s="6"/>
      <c r="W23" s="6"/>
      <c r="X23" s="6"/>
      <c r="Y23" s="5"/>
      <c r="Z23" s="5">
        <f>IFERROR(__xludf.DUMMYFUNCTION("""COMPUTED_VALUE"""),2242906.0)</f>
        <v>2242906</v>
      </c>
      <c r="AA23" s="5" t="str">
        <f>IFERROR(__xludf.DUMMYFUNCTION("""COMPUTED_VALUE"""),"jimmyquiroga0912@gmail.com,jimmy2242906@correo.uis.edu.co")</f>
        <v>jimmyquiroga0912@gmail.com,jimmy2242906@correo.uis.edu.co</v>
      </c>
    </row>
    <row r="24">
      <c r="A24" s="6">
        <f>IFERROR(__xludf.DUMMYFUNCTION("""COMPUTED_VALUE"""),23.0)</f>
        <v>23</v>
      </c>
      <c r="B24" s="5" t="str">
        <f>IFERROR(__xludf.DUMMYFUNCTION("""COMPUTED_VALUE"""),"RICAURTE MORENO DANNA VALENTINA")</f>
        <v>RICAURTE MORENO DANNA VALENTINA</v>
      </c>
      <c r="C24" s="6">
        <f>IFERROR(__xludf.DUMMYFUNCTION("""COMPUTED_VALUE"""),2.4)</f>
        <v>2.4</v>
      </c>
      <c r="D24" s="6">
        <f>IFERROR(__xludf.DUMMYFUNCTION("""COMPUTED_VALUE"""),3.0)</f>
        <v>3</v>
      </c>
      <c r="E24" s="6">
        <f>IFERROR(__xludf.DUMMYFUNCTION("""COMPUTED_VALUE"""),2.0)</f>
        <v>2</v>
      </c>
      <c r="F24" s="7">
        <f>IFERROR(__xludf.DUMMYFUNCTION("""COMPUTED_VALUE"""),5.0)</f>
        <v>5</v>
      </c>
      <c r="G24" s="6">
        <f>IFERROR(__xludf.DUMMYFUNCTION("""COMPUTED_VALUE"""),4.9)</f>
        <v>4.9</v>
      </c>
      <c r="H24" s="6">
        <f>IFERROR(__xludf.DUMMYFUNCTION("""COMPUTED_VALUE"""),3.0)</f>
        <v>3</v>
      </c>
      <c r="I24" s="6">
        <f>IFERROR(__xludf.DUMMYFUNCTION("""COMPUTED_VALUE"""),5.0)</f>
        <v>5</v>
      </c>
      <c r="J24" s="6">
        <f>IFERROR(__xludf.DUMMYFUNCTION("""COMPUTED_VALUE"""),4.4)</f>
        <v>4.4</v>
      </c>
      <c r="K24" s="6">
        <f>IFERROR(__xludf.DUMMYFUNCTION("""COMPUTED_VALUE"""),0.0)</f>
        <v>0</v>
      </c>
      <c r="L24" s="6">
        <f>IFERROR(__xludf.DUMMYFUNCTION("""COMPUTED_VALUE"""),4.4)</f>
        <v>4.4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IFERROR(__xludf.DUMMYFUNCTION("""COMPUTED_VALUE"""),5.0)</f>
        <v>5</v>
      </c>
      <c r="P24" s="6">
        <f>IFERROR(__xludf.DUMMYFUNCTION("""COMPUTED_VALUE"""),5.0)</f>
        <v>5</v>
      </c>
      <c r="Q24" s="6">
        <f>IFERROR(__xludf.DUMMYFUNCTION("""COMPUTED_VALUE"""),5.0)</f>
        <v>5</v>
      </c>
      <c r="R24" s="6">
        <f>IFERROR(__xludf.DUMMYFUNCTION("""COMPUTED_VALUE"""),5.0)</f>
        <v>5</v>
      </c>
      <c r="S24" s="6">
        <f>IFERROR(__xludf.DUMMYFUNCTION("""COMPUTED_VALUE"""),5.0)</f>
        <v>5</v>
      </c>
      <c r="T24" s="8">
        <f>IFERROR(__xludf.DUMMYFUNCTION("""COMPUTED_VALUE"""),3.315)</f>
        <v>3.315</v>
      </c>
      <c r="U24" s="9">
        <f>IFERROR(__xludf.DUMMYFUNCTION("""COMPUTED_VALUE"""),1.105)</f>
        <v>1.105</v>
      </c>
      <c r="V24" s="6"/>
      <c r="W24" s="6"/>
      <c r="X24" s="6"/>
      <c r="Y24" s="5"/>
      <c r="Z24" s="5">
        <f>IFERROR(__xludf.DUMMYFUNCTION("""COMPUTED_VALUE"""),2253727.0)</f>
        <v>2253727</v>
      </c>
      <c r="AA24" s="5" t="str">
        <f>IFERROR(__xludf.DUMMYFUNCTION("""COMPUTED_VALUE"""),"DANNAVGONSALESRM@GMAIL.COM,danna2253727@correo.uis.edu.co")</f>
        <v>DANNAVGONSALESRM@GMAIL.COM,danna2253727@correo.uis.edu.co</v>
      </c>
    </row>
    <row r="25">
      <c r="A25" s="6">
        <f>IFERROR(__xludf.DUMMYFUNCTION("""COMPUTED_VALUE"""),24.0)</f>
        <v>24</v>
      </c>
      <c r="B25" s="5" t="str">
        <f>IFERROR(__xludf.DUMMYFUNCTION("""COMPUTED_VALUE"""),"RIOS MOLINA NATHALY MICHAEL")</f>
        <v>RIOS MOLINA NATHALY MICHAEL</v>
      </c>
      <c r="C25" s="6">
        <f>IFERROR(__xludf.DUMMYFUNCTION("""COMPUTED_VALUE"""),5.0)</f>
        <v>5</v>
      </c>
      <c r="D25" s="6">
        <f>IFERROR(__xludf.DUMMYFUNCTION("""COMPUTED_VALUE"""),5.0)</f>
        <v>5</v>
      </c>
      <c r="E25" s="6">
        <f>IFERROR(__xludf.DUMMYFUNCTION("""COMPUTED_VALUE"""),1.4)</f>
        <v>1.4</v>
      </c>
      <c r="F25" s="7">
        <f>IFERROR(__xludf.DUMMYFUNCTION("""COMPUTED_VALUE"""),5.0)</f>
        <v>5</v>
      </c>
      <c r="G25" s="6">
        <f>IFERROR(__xludf.DUMMYFUNCTION("""COMPUTED_VALUE"""),5.0)</f>
        <v>5</v>
      </c>
      <c r="H25" s="6">
        <f>IFERROR(__xludf.DUMMYFUNCTION("""COMPUTED_VALUE"""),2.0)</f>
        <v>2</v>
      </c>
      <c r="I25" s="6">
        <f>IFERROR(__xludf.DUMMYFUNCTION("""COMPUTED_VALUE"""),5.0)</f>
        <v>5</v>
      </c>
      <c r="J25" s="6">
        <f>IFERROR(__xludf.DUMMYFUNCTION("""COMPUTED_VALUE"""),5.0)</f>
        <v>5</v>
      </c>
      <c r="K25" s="6">
        <f>IFERROR(__xludf.DUMMYFUNCTION("""COMPUTED_VALUE"""),0.0)</f>
        <v>0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IFERROR(__xludf.DUMMYFUNCTION("""COMPUTED_VALUE"""),3.0)</f>
        <v>3</v>
      </c>
      <c r="P25" s="6">
        <f>IFERROR(__xludf.DUMMYFUNCTION("""COMPUTED_VALUE"""),5.0)</f>
        <v>5</v>
      </c>
      <c r="Q25" s="6">
        <f>IFERROR(__xludf.DUMMYFUNCTION("""COMPUTED_VALUE"""),5.0)</f>
        <v>5</v>
      </c>
      <c r="R25" s="6">
        <f>IFERROR(__xludf.DUMMYFUNCTION("""COMPUTED_VALUE"""),5.0)</f>
        <v>5</v>
      </c>
      <c r="S25" s="6">
        <f>IFERROR(__xludf.DUMMYFUNCTION("""COMPUTED_VALUE"""),5.0)</f>
        <v>5</v>
      </c>
      <c r="T25" s="8">
        <f>IFERROR(__xludf.DUMMYFUNCTION("""COMPUTED_VALUE"""),4.1)</f>
        <v>4.1</v>
      </c>
      <c r="U25" s="9">
        <f>IFERROR(__xludf.DUMMYFUNCTION("""COMPUTED_VALUE"""),1.3666666666666665)</f>
        <v>1.366666667</v>
      </c>
      <c r="V25" s="6"/>
      <c r="W25" s="6"/>
      <c r="X25" s="6"/>
      <c r="Y25" s="5"/>
      <c r="Z25" s="5">
        <f>IFERROR(__xludf.DUMMYFUNCTION("""COMPUTED_VALUE"""),2253228.0)</f>
        <v>2253228</v>
      </c>
      <c r="AA25" s="5" t="str">
        <f>IFERROR(__xludf.DUMMYFUNCTION("""COMPUTED_VALUE"""),"NATYRIOS090804@GMAIL.COM,nathaly2253228@correo.uis.edu.co")</f>
        <v>NATYRIOS090804@GMAIL.COM,nathaly2253228@correo.uis.edu.co</v>
      </c>
    </row>
    <row r="26">
      <c r="A26" s="6">
        <f>IFERROR(__xludf.DUMMYFUNCTION("""COMPUTED_VALUE"""),25.0)</f>
        <v>25</v>
      </c>
      <c r="B26" s="5" t="str">
        <f>IFERROR(__xludf.DUMMYFUNCTION("""COMPUTED_VALUE"""),"RONDEROS SEPULVEDA ANDRES JULIAN")</f>
        <v>RONDEROS SEPULVEDA ANDRES JULIAN</v>
      </c>
      <c r="C26" s="6">
        <f>IFERROR(__xludf.DUMMYFUNCTION("""COMPUTED_VALUE"""),5.0)</f>
        <v>5</v>
      </c>
      <c r="D26" s="6">
        <f>IFERROR(__xludf.DUMMYFUNCTION("""COMPUTED_VALUE"""),3.4)</f>
        <v>3.4</v>
      </c>
      <c r="E26" s="6">
        <f>IFERROR(__xludf.DUMMYFUNCTION("""COMPUTED_VALUE"""),1.4)</f>
        <v>1.4</v>
      </c>
      <c r="F26" s="7">
        <f>IFERROR(__xludf.DUMMYFUNCTION("""COMPUTED_VALUE"""),3.7)</f>
        <v>3.7</v>
      </c>
      <c r="G26" s="6">
        <f>IFERROR(__xludf.DUMMYFUNCTION("""COMPUTED_VALUE"""),4.4)</f>
        <v>4.4</v>
      </c>
      <c r="H26" s="6">
        <f>IFERROR(__xludf.DUMMYFUNCTION("""COMPUTED_VALUE"""),1.5)</f>
        <v>1.5</v>
      </c>
      <c r="I26" s="6">
        <f>IFERROR(__xludf.DUMMYFUNCTION("""COMPUTED_VALUE"""),3.4)</f>
        <v>3.4</v>
      </c>
      <c r="J26" s="6">
        <f>IFERROR(__xludf.DUMMYFUNCTION("""COMPUTED_VALUE"""),0.0)</f>
        <v>0</v>
      </c>
      <c r="K26" s="6">
        <f>IFERROR(__xludf.DUMMYFUNCTION("""COMPUTED_VALUE"""),3.0)</f>
        <v>3</v>
      </c>
      <c r="L26" s="6">
        <f>IFERROR(__xludf.DUMMYFUNCTION("""COMPUTED_VALUE"""),2.7)</f>
        <v>2.7</v>
      </c>
      <c r="M26" s="6">
        <f>IFERROR(__xludf.DUMMYFUNCTION("""COMPUTED_VALUE"""),5.0)</f>
        <v>5</v>
      </c>
      <c r="N26" s="6">
        <f>IFERROR(__xludf.DUMMYFUNCTION("""COMPUTED_VALUE"""),5.0)</f>
        <v>5</v>
      </c>
      <c r="O26" s="6">
        <f>IFERROR(__xludf.DUMMYFUNCTION("""COMPUTED_VALUE"""),3.0)</f>
        <v>3</v>
      </c>
      <c r="P26" s="6">
        <f>IFERROR(__xludf.DUMMYFUNCTION("""COMPUTED_VALUE"""),5.0)</f>
        <v>5</v>
      </c>
      <c r="Q26" s="6">
        <f>IFERROR(__xludf.DUMMYFUNCTION("""COMPUTED_VALUE"""),5.0)</f>
        <v>5</v>
      </c>
      <c r="R26" s="6">
        <f>IFERROR(__xludf.DUMMYFUNCTION("""COMPUTED_VALUE"""),5.0)</f>
        <v>5</v>
      </c>
      <c r="S26" s="6">
        <f>IFERROR(__xludf.DUMMYFUNCTION("""COMPUTED_VALUE"""),5.0)</f>
        <v>5</v>
      </c>
      <c r="T26" s="8">
        <f>IFERROR(__xludf.DUMMYFUNCTION("""COMPUTED_VALUE"""),3.4300000000000006)</f>
        <v>3.43</v>
      </c>
      <c r="U26" s="9">
        <f>IFERROR(__xludf.DUMMYFUNCTION("""COMPUTED_VALUE"""),1.1433333333333335)</f>
        <v>1.143333333</v>
      </c>
      <c r="V26" s="6"/>
      <c r="W26" s="6"/>
      <c r="X26" s="6"/>
      <c r="Y26" s="5"/>
      <c r="Z26" s="5">
        <f>IFERROR(__xludf.DUMMYFUNCTION("""COMPUTED_VALUE"""),2253073.0)</f>
        <v>2253073</v>
      </c>
      <c r="AA26" s="5" t="str">
        <f>IFERROR(__xludf.DUMMYFUNCTION("""COMPUTED_VALUE"""),"ANDRESRONDEROS7@GMAIL.COM,andres2253073@correo.uis.edu.co")</f>
        <v>ANDRESRONDEROS7@GMAIL.COM,andres2253073@correo.uis.edu.co</v>
      </c>
    </row>
    <row r="27">
      <c r="A27" s="6">
        <f>IFERROR(__xludf.DUMMYFUNCTION("""COMPUTED_VALUE"""),26.0)</f>
        <v>26</v>
      </c>
      <c r="B27" s="5" t="str">
        <f>IFERROR(__xludf.DUMMYFUNCTION("""COMPUTED_VALUE"""),"TORRES OROZCO VALERIA")</f>
        <v>TORRES OROZCO VALERIA</v>
      </c>
      <c r="C27" s="6">
        <f>IFERROR(__xludf.DUMMYFUNCTION("""COMPUTED_VALUE"""),2.2)</f>
        <v>2.2</v>
      </c>
      <c r="D27" s="6">
        <f>IFERROR(__xludf.DUMMYFUNCTION("""COMPUTED_VALUE"""),4.0)</f>
        <v>4</v>
      </c>
      <c r="E27" s="6">
        <f>IFERROR(__xludf.DUMMYFUNCTION("""COMPUTED_VALUE"""),2.5)</f>
        <v>2.5</v>
      </c>
      <c r="F27" s="7">
        <f>IFERROR(__xludf.DUMMYFUNCTION("""COMPUTED_VALUE"""),5.0)</f>
        <v>5</v>
      </c>
      <c r="G27" s="6">
        <f>IFERROR(__xludf.DUMMYFUNCTION("""COMPUTED_VALUE"""),4.9)</f>
        <v>4.9</v>
      </c>
      <c r="H27" s="6">
        <f>IFERROR(__xludf.DUMMYFUNCTION("""COMPUTED_VALUE"""),2.0)</f>
        <v>2</v>
      </c>
      <c r="I27" s="6">
        <f>IFERROR(__xludf.DUMMYFUNCTION("""COMPUTED_VALUE"""),0.0)</f>
        <v>0</v>
      </c>
      <c r="J27" s="6">
        <f>IFERROR(__xludf.DUMMYFUNCTION("""COMPUTED_VALUE"""),5.0)</f>
        <v>5</v>
      </c>
      <c r="K27" s="6">
        <f>IFERROR(__xludf.DUMMYFUNCTION("""COMPUTED_VALUE"""),0.0)</f>
        <v>0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IFERROR(__xludf.DUMMYFUNCTION("""COMPUTED_VALUE"""),5.0)</f>
        <v>5</v>
      </c>
      <c r="O27" s="6">
        <f>IFERROR(__xludf.DUMMYFUNCTION("""COMPUTED_VALUE"""),5.0)</f>
        <v>5</v>
      </c>
      <c r="P27" s="6">
        <f>IFERROR(__xludf.DUMMYFUNCTION("""COMPUTED_VALUE"""),4.0)</f>
        <v>4</v>
      </c>
      <c r="Q27" s="6">
        <f>IFERROR(__xludf.DUMMYFUNCTION("""COMPUTED_VALUE"""),5.0)</f>
        <v>5</v>
      </c>
      <c r="R27" s="6">
        <f>IFERROR(__xludf.DUMMYFUNCTION("""COMPUTED_VALUE"""),5.0)</f>
        <v>5</v>
      </c>
      <c r="S27" s="6">
        <f>IFERROR(__xludf.DUMMYFUNCTION("""COMPUTED_VALUE"""),5.0)</f>
        <v>5</v>
      </c>
      <c r="T27" s="8">
        <f>IFERROR(__xludf.DUMMYFUNCTION("""COMPUTED_VALUE"""),3.5999999999999996)</f>
        <v>3.6</v>
      </c>
      <c r="U27" s="9">
        <f>IFERROR(__xludf.DUMMYFUNCTION("""COMPUTED_VALUE"""),1.2)</f>
        <v>1.2</v>
      </c>
      <c r="V27" s="6"/>
      <c r="W27" s="6"/>
      <c r="X27" s="6"/>
      <c r="Y27" s="5"/>
      <c r="Z27" s="5">
        <f>IFERROR(__xludf.DUMMYFUNCTION("""COMPUTED_VALUE"""),2252470.0)</f>
        <v>2252470</v>
      </c>
      <c r="AA27" s="5" t="str">
        <f>IFERROR(__xludf.DUMMYFUNCTION("""COMPUTED_VALUE"""),"VALERIATU22@GMAIL.COM,valeria2252470@correo.uis.edu.co")</f>
        <v>VALERIATU22@GMAIL.COM,valeria2252470@correo.uis.edu.co</v>
      </c>
    </row>
    <row r="28">
      <c r="A28" s="6">
        <f>IFERROR(__xludf.DUMMYFUNCTION("""COMPUTED_VALUE"""),27.0)</f>
        <v>27</v>
      </c>
      <c r="B28" s="5" t="str">
        <f>IFERROR(__xludf.DUMMYFUNCTION("""COMPUTED_VALUE"""),"URBINA BERMUDEZ ANGEL DAVID")</f>
        <v>URBINA BERMUDEZ ANGEL DAVID</v>
      </c>
      <c r="C28" s="6">
        <f>IFERROR(__xludf.DUMMYFUNCTION("""COMPUTED_VALUE"""),1.7)</f>
        <v>1.7</v>
      </c>
      <c r="D28" s="6">
        <f>IFERROR(__xludf.DUMMYFUNCTION("""COMPUTED_VALUE"""),2.9)</f>
        <v>2.9</v>
      </c>
      <c r="E28" s="6">
        <f>IFERROR(__xludf.DUMMYFUNCTION("""COMPUTED_VALUE"""),1.5)</f>
        <v>1.5</v>
      </c>
      <c r="F28" s="7">
        <f>IFERROR(__xludf.DUMMYFUNCTION("""COMPUTED_VALUE"""),3.5)</f>
        <v>3.5</v>
      </c>
      <c r="G28" s="6">
        <f>IFERROR(__xludf.DUMMYFUNCTION("""COMPUTED_VALUE"""),5.0)</f>
        <v>5</v>
      </c>
      <c r="H28" s="6">
        <f>IFERROR(__xludf.DUMMYFUNCTION("""COMPUTED_VALUE"""),2.0)</f>
        <v>2</v>
      </c>
      <c r="I28" s="6">
        <f>IFERROR(__xludf.DUMMYFUNCTION("""COMPUTED_VALUE"""),3.4)</f>
        <v>3.4</v>
      </c>
      <c r="J28" s="6">
        <f>IFERROR(__xludf.DUMMYFUNCTION("""COMPUTED_VALUE"""),5.0)</f>
        <v>5</v>
      </c>
      <c r="K28" s="6">
        <f>IFERROR(__xludf.DUMMYFUNCTION("""COMPUTED_VALUE"""),5.0)</f>
        <v>5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IFERROR(__xludf.DUMMYFUNCTION("""COMPUTED_VALUE"""),5.0)</f>
        <v>5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>
        <f>IFERROR(__xludf.DUMMYFUNCTION("""COMPUTED_VALUE"""),5.0)</f>
        <v>5</v>
      </c>
      <c r="S28" s="6">
        <f>IFERROR(__xludf.DUMMYFUNCTION("""COMPUTED_VALUE"""),5.0)</f>
        <v>5</v>
      </c>
      <c r="T28" s="8">
        <f>IFERROR(__xludf.DUMMYFUNCTION("""COMPUTED_VALUE"""),2.745)</f>
        <v>2.745</v>
      </c>
      <c r="U28" s="9">
        <f>IFERROR(__xludf.DUMMYFUNCTION("""COMPUTED_VALUE"""),0.915)</f>
        <v>0.915</v>
      </c>
      <c r="V28" s="6"/>
      <c r="W28" s="6"/>
      <c r="X28" s="6"/>
      <c r="Y28" s="5"/>
      <c r="Z28" s="5">
        <f>IFERROR(__xludf.DUMMYFUNCTION("""COMPUTED_VALUE"""),2252265.0)</f>
        <v>2252265</v>
      </c>
      <c r="AA28" s="5" t="str">
        <f>IFERROR(__xludf.DUMMYFUNCTION("""COMPUTED_VALUE"""),"ANGEL480303@GMAIL.COM,angel2252265@correo.uis.edu.co")</f>
        <v>ANGEL480303@GMAIL.COM,angel2252265@correo.uis.edu.co</v>
      </c>
    </row>
    <row r="29">
      <c r="A29" s="6">
        <f>IFERROR(__xludf.DUMMYFUNCTION("""COMPUTED_VALUE"""),28.0)</f>
        <v>28</v>
      </c>
      <c r="B29" s="5" t="str">
        <f>IFERROR(__xludf.DUMMYFUNCTION("""COMPUTED_VALUE"""),"VARGAS VILLAMIZAR JESUS DAVID")</f>
        <v>VARGAS VILLAMIZAR JESUS DAVID</v>
      </c>
      <c r="C29" s="6">
        <f>IFERROR(__xludf.DUMMYFUNCTION("""COMPUTED_VALUE"""),2.6)</f>
        <v>2.6</v>
      </c>
      <c r="D29" s="6">
        <f>IFERROR(__xludf.DUMMYFUNCTION("""COMPUTED_VALUE"""),5.0)</f>
        <v>5</v>
      </c>
      <c r="E29" s="6">
        <f>IFERROR(__xludf.DUMMYFUNCTION("""COMPUTED_VALUE"""),2.0)</f>
        <v>2</v>
      </c>
      <c r="F29" s="7">
        <f>IFERROR(__xludf.DUMMYFUNCTION("""COMPUTED_VALUE"""),3.0)</f>
        <v>3</v>
      </c>
      <c r="G29" s="6">
        <f>IFERROR(__xludf.DUMMYFUNCTION("""COMPUTED_VALUE"""),4.9)</f>
        <v>4.9</v>
      </c>
      <c r="H29" s="6">
        <f>IFERROR(__xludf.DUMMYFUNCTION("""COMPUTED_VALUE"""),2.0)</f>
        <v>2</v>
      </c>
      <c r="I29" s="6">
        <f>IFERROR(__xludf.DUMMYFUNCTION("""COMPUTED_VALUE"""),5.0)</f>
        <v>5</v>
      </c>
      <c r="J29" s="6">
        <f>IFERROR(__xludf.DUMMYFUNCTION("""COMPUTED_VALUE"""),4.4)</f>
        <v>4.4</v>
      </c>
      <c r="K29" s="6">
        <f>IFERROR(__xludf.DUMMYFUNCTION("""COMPUTED_VALUE"""),0.0)</f>
        <v>0</v>
      </c>
      <c r="L29" s="6">
        <f>IFERROR(__xludf.DUMMYFUNCTION("""COMPUTED_VALUE"""),5.0)</f>
        <v>5</v>
      </c>
      <c r="M29" s="6">
        <f>IFERROR(__xludf.DUMMYFUNCTION("""COMPUTED_VALUE"""),5.0)</f>
        <v>5</v>
      </c>
      <c r="N29" s="6">
        <f>IFERROR(__xludf.DUMMYFUNCTION("""COMPUTED_VALUE"""),5.0)</f>
        <v>5</v>
      </c>
      <c r="O29" s="6">
        <f>IFERROR(__xludf.DUMMYFUNCTION("""COMPUTED_VALUE"""),4.0)</f>
        <v>4</v>
      </c>
      <c r="P29" s="6">
        <f>IFERROR(__xludf.DUMMYFUNCTION("""COMPUTED_VALUE"""),5.0)</f>
        <v>5</v>
      </c>
      <c r="Q29" s="6">
        <f>IFERROR(__xludf.DUMMYFUNCTION("""COMPUTED_VALUE"""),5.0)</f>
        <v>5</v>
      </c>
      <c r="R29" s="6">
        <f>IFERROR(__xludf.DUMMYFUNCTION("""COMPUTED_VALUE"""),5.0)</f>
        <v>5</v>
      </c>
      <c r="S29" s="6">
        <f>IFERROR(__xludf.DUMMYFUNCTION("""COMPUTED_VALUE"""),5.0)</f>
        <v>5</v>
      </c>
      <c r="T29" s="8">
        <f>IFERROR(__xludf.DUMMYFUNCTION("""COMPUTED_VALUE"""),3.355)</f>
        <v>3.355</v>
      </c>
      <c r="U29" s="9">
        <f>IFERROR(__xludf.DUMMYFUNCTION("""COMPUTED_VALUE"""),1.1183333333333334)</f>
        <v>1.118333333</v>
      </c>
      <c r="V29" s="6"/>
      <c r="W29" s="6"/>
      <c r="X29" s="6"/>
      <c r="Y29" s="5"/>
      <c r="Z29" s="5">
        <f>IFERROR(__xludf.DUMMYFUNCTION("""COMPUTED_VALUE"""),2242893.0)</f>
        <v>2242893</v>
      </c>
      <c r="AA29" s="5" t="str">
        <f>IFERROR(__xludf.DUMMYFUNCTION("""COMPUTED_VALUE"""),"jesusychuss@gmail.com,jesus2242893@correo.uis.edu.co")</f>
        <v>jesusychuss@gmail.com,jesus2242893@correo.uis.edu.co</v>
      </c>
    </row>
  </sheetData>
  <conditionalFormatting sqref="R2:R29">
    <cfRule type="cellIs" dxfId="0" priority="1" operator="greaterThanOrEqual">
      <formula>3</formula>
    </cfRule>
  </conditionalFormatting>
  <conditionalFormatting sqref="R2:R29">
    <cfRule type="cellIs" dxfId="1" priority="2" operator="between">
      <formula>2.8</formula>
      <formula>2.999</formula>
    </cfRule>
  </conditionalFormatting>
  <conditionalFormatting sqref="R2:R29">
    <cfRule type="cellIs" dxfId="2" priority="3" operator="lessThan">
      <formula>2.8</formula>
    </cfRule>
  </conditionalFormatting>
  <conditionalFormatting sqref="T2:T29">
    <cfRule type="cellIs" dxfId="3" priority="4" operator="lessThan">
      <formula>3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63"/>
    <col customWidth="1" min="2" max="2" width="33.63"/>
    <col customWidth="1" min="3" max="6" width="3.63"/>
    <col customWidth="1" min="7" max="7" width="5.38"/>
    <col customWidth="1" min="8" max="8" width="5.25"/>
    <col customWidth="1" min="9" max="9" width="6.88"/>
    <col customWidth="1" min="10" max="17" width="3.63"/>
    <col customWidth="1" min="18" max="18" width="8.13"/>
    <col customWidth="1" min="19" max="19" width="7.5"/>
    <col customWidth="1" min="20" max="20" width="8.13"/>
    <col customWidth="1" min="21" max="22" width="3.63"/>
    <col customWidth="1" min="23" max="23" width="8.25"/>
    <col customWidth="1" min="24" max="24" width="5.63"/>
    <col customWidth="1" min="25" max="25" width="8.25"/>
    <col customWidth="1" min="26" max="26" width="3.63"/>
  </cols>
  <sheetData>
    <row r="1">
      <c r="A1" s="1" t="str">
        <f>IFERROR(__xludf.DUMMYFUNCTION("IMPORTRANGE(""1IBQjOws3WhAXDJftgpUWc3oN7u_5yElNOe9-ViV3LKs"",""ALGPF3_1!A1:Y29"")"),"No")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0" t="str">
        <f>IFERROR(__xludf.DUMMYFUNCTION("""COMPUTED_VALUE"""),"TUTO")</f>
        <v>TUTO</v>
      </c>
      <c r="I1" s="11" t="str">
        <f>IFERROR(__xludf.DUMMYFUNCTION("""COMPUTED_VALUE"""),"PQT+Tu(20%)")</f>
        <v>PQT+Tu(20%)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/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6"/>
    </row>
    <row r="2">
      <c r="A2" s="6">
        <f>IFERROR(__xludf.DUMMYFUNCTION("""COMPUTED_VALUE"""),1.0)</f>
        <v>1</v>
      </c>
      <c r="B2" s="5" t="str">
        <f>IFERROR(__xludf.DUMMYFUNCTION("""COMPUTED_VALUE"""),"ABELLO PLATA KEDDEN SLEITH")</f>
        <v>ABELLO PLATA KEDDEN SLEITH</v>
      </c>
      <c r="C2" s="6">
        <f>IFERROR(__xludf.DUMMYFUNCTION("""COMPUTED_VALUE"""),4.5)</f>
        <v>4.5</v>
      </c>
      <c r="D2" s="6">
        <f>IFERROR(__xludf.DUMMYFUNCTION("""COMPUTED_VALUE"""),4.0)</f>
        <v>4</v>
      </c>
      <c r="E2" s="6">
        <f>IFERROR(__xludf.DUMMYFUNCTION("""COMPUTED_VALUE"""),4.0)</f>
        <v>4</v>
      </c>
      <c r="F2" s="6">
        <f>IFERROR(__xludf.DUMMYFUNCTION("""COMPUTED_VALUE"""),5.0)</f>
        <v>5</v>
      </c>
      <c r="G2" s="6">
        <f>IFERROR(__xludf.DUMMYFUNCTION("""COMPUTED_VALUE"""),4.8)</f>
        <v>4.8</v>
      </c>
      <c r="H2" s="6">
        <f>IFERROR(__xludf.DUMMYFUNCTION("""COMPUTED_VALUE"""),5.0)</f>
        <v>5</v>
      </c>
      <c r="I2" s="6">
        <f>IFERROR(__xludf.DUMMYFUNCTION("""COMPUTED_VALUE"""),4.8)</f>
        <v>4.8</v>
      </c>
      <c r="J2" s="6">
        <f>IFERROR(__xludf.DUMMYFUNCTION("""COMPUTED_VALUE"""),3.0)</f>
        <v>3</v>
      </c>
      <c r="K2" s="6">
        <f>IFERROR(__xludf.DUMMYFUNCTION("""COMPUTED_VALUE"""),4.6)</f>
        <v>4.6</v>
      </c>
      <c r="L2" s="6">
        <f>IFERROR(__xludf.DUMMYFUNCTION("""COMPUTED_VALUE"""),5.0)</f>
        <v>5</v>
      </c>
      <c r="M2" s="6">
        <f>IFERROR(__xludf.DUMMYFUNCTION("""COMPUTED_VALUE"""),5.0)</f>
        <v>5</v>
      </c>
      <c r="N2" s="6">
        <f>IFERROR(__xludf.DUMMYFUNCTION("""COMPUTED_VALUE"""),5.0)</f>
        <v>5</v>
      </c>
      <c r="O2" s="6">
        <f>IFERROR(__xludf.DUMMYFUNCTION("""COMPUTED_VALUE"""),4.0)</f>
        <v>4</v>
      </c>
      <c r="P2" s="6">
        <f>IFERROR(__xludf.DUMMYFUNCTION("""COMPUTED_VALUE"""),5.0)</f>
        <v>5</v>
      </c>
      <c r="Q2" s="6"/>
      <c r="R2" s="6"/>
      <c r="S2" s="8">
        <f>IFERROR(__xludf.DUMMYFUNCTION("""COMPUTED_VALUE"""),4.4350000000000005)</f>
        <v>4.435</v>
      </c>
      <c r="T2" s="12">
        <f>IFERROR(__xludf.DUMMYFUNCTION("""COMPUTED_VALUE"""),1.4783333333333335)</f>
        <v>1.478333333</v>
      </c>
      <c r="U2" s="6"/>
      <c r="V2" s="6"/>
      <c r="W2" s="6">
        <f>IFERROR(__xludf.DUMMYFUNCTION("""COMPUTED_VALUE"""),4.5)</f>
        <v>4.5</v>
      </c>
      <c r="X2" s="6"/>
      <c r="Y2" s="6">
        <f>IFERROR(__xludf.DUMMYFUNCTION("""COMPUTED_VALUE"""),2260342.0)</f>
        <v>2260342</v>
      </c>
      <c r="Z2" s="6"/>
    </row>
    <row r="3">
      <c r="A3" s="6">
        <f>IFERROR(__xludf.DUMMYFUNCTION("""COMPUTED_VALUE"""),2.0)</f>
        <v>2</v>
      </c>
      <c r="B3" s="5" t="str">
        <f>IFERROR(__xludf.DUMMYFUNCTION("""COMPUTED_VALUE"""),"ALARCON MEDINA MIGUEL ANGEL")</f>
        <v>ALARCON MEDINA MIGUEL ANGEL</v>
      </c>
      <c r="C3" s="6">
        <f>IFERROR(__xludf.DUMMYFUNCTION("""COMPUTED_VALUE"""),5.0)</f>
        <v>5</v>
      </c>
      <c r="D3" s="6">
        <f>IFERROR(__xludf.DUMMYFUNCTION("""COMPUTED_VALUE"""),5.0)</f>
        <v>5</v>
      </c>
      <c r="E3" s="6">
        <f>IFERROR(__xludf.DUMMYFUNCTION("""COMPUTED_VALUE"""),5.0)</f>
        <v>5</v>
      </c>
      <c r="F3" s="6">
        <f>IFERROR(__xludf.DUMMYFUNCTION("""COMPUTED_VALUE"""),5.0)</f>
        <v>5</v>
      </c>
      <c r="G3" s="6">
        <f>IFERROR(__xludf.DUMMYFUNCTION("""COMPUTED_VALUE"""),5.0)</f>
        <v>5</v>
      </c>
      <c r="H3" s="6">
        <f>IFERROR(__xludf.DUMMYFUNCTION("""COMPUTED_VALUE"""),5.0)</f>
        <v>5</v>
      </c>
      <c r="I3" s="6">
        <f>IFERROR(__xludf.DUMMYFUNCTION("""COMPUTED_VALUE"""),5.0)</f>
        <v>5</v>
      </c>
      <c r="J3" s="6">
        <f>IFERROR(__xludf.DUMMYFUNCTION("""COMPUTED_VALUE"""),5.0)</f>
        <v>5</v>
      </c>
      <c r="K3" s="6">
        <f>IFERROR(__xludf.DUMMYFUNCTION("""COMPUTED_VALUE"""),4.2)</f>
        <v>4.2</v>
      </c>
      <c r="L3" s="6">
        <f>IFERROR(__xludf.DUMMYFUNCTION("""COMPUTED_VALUE"""),5.0)</f>
        <v>5</v>
      </c>
      <c r="M3" s="6">
        <f>IFERROR(__xludf.DUMMYFUNCTION("""COMPUTED_VALUE"""),5.0)</f>
        <v>5</v>
      </c>
      <c r="N3" s="6">
        <f>IFERROR(__xludf.DUMMYFUNCTION("""COMPUTED_VALUE"""),5.0)</f>
        <v>5</v>
      </c>
      <c r="O3" s="6">
        <f>IFERROR(__xludf.DUMMYFUNCTION("""COMPUTED_VALUE"""),5.0)</f>
        <v>5</v>
      </c>
      <c r="P3" s="6">
        <f>IFERROR(__xludf.DUMMYFUNCTION("""COMPUTED_VALUE"""),5.0)</f>
        <v>5</v>
      </c>
      <c r="Q3" s="6"/>
      <c r="R3" s="6"/>
      <c r="S3" s="8">
        <f>IFERROR(__xludf.DUMMYFUNCTION("""COMPUTED_VALUE"""),5.0)</f>
        <v>5</v>
      </c>
      <c r="T3" s="12">
        <f>IFERROR(__xludf.DUMMYFUNCTION("""COMPUTED_VALUE"""),1.6666666666666667)</f>
        <v>1.666666667</v>
      </c>
      <c r="U3" s="6"/>
      <c r="V3" s="6"/>
      <c r="W3" s="6">
        <f>IFERROR(__xludf.DUMMYFUNCTION("""COMPUTED_VALUE"""),4.9)</f>
        <v>4.9</v>
      </c>
      <c r="X3" s="6"/>
      <c r="Y3" s="6">
        <f>IFERROR(__xludf.DUMMYFUNCTION("""COMPUTED_VALUE"""),2260347.0)</f>
        <v>2260347</v>
      </c>
      <c r="Z3" s="6"/>
    </row>
    <row r="4">
      <c r="A4" s="6">
        <f>IFERROR(__xludf.DUMMYFUNCTION("""COMPUTED_VALUE"""),3.0)</f>
        <v>3</v>
      </c>
      <c r="B4" s="5" t="str">
        <f>IFERROR(__xludf.DUMMYFUNCTION("""COMPUTED_VALUE"""),"AROCHA SANDOVAL ADRIAN YESID")</f>
        <v>AROCHA SANDOVAL ADRIAN YESID</v>
      </c>
      <c r="C4" s="6">
        <f>IFERROR(__xludf.DUMMYFUNCTION("""COMPUTED_VALUE"""),5.0)</f>
        <v>5</v>
      </c>
      <c r="D4" s="6">
        <f>IFERROR(__xludf.DUMMYFUNCTION("""COMPUTED_VALUE"""),5.0)</f>
        <v>5</v>
      </c>
      <c r="E4" s="6">
        <f>IFERROR(__xludf.DUMMYFUNCTION("""COMPUTED_VALUE"""),5.0)</f>
        <v>5</v>
      </c>
      <c r="F4" s="6">
        <f>IFERROR(__xludf.DUMMYFUNCTION("""COMPUTED_VALUE"""),5.0)</f>
        <v>5</v>
      </c>
      <c r="G4" s="6">
        <f>IFERROR(__xludf.DUMMYFUNCTION("""COMPUTED_VALUE"""),5.0)</f>
        <v>5</v>
      </c>
      <c r="H4" s="6">
        <f>IFERROR(__xludf.DUMMYFUNCTION("""COMPUTED_VALUE"""),5.0)</f>
        <v>5</v>
      </c>
      <c r="I4" s="6">
        <f>IFERROR(__xludf.DUMMYFUNCTION("""COMPUTED_VALUE"""),5.0)</f>
        <v>5</v>
      </c>
      <c r="J4" s="6">
        <f>IFERROR(__xludf.DUMMYFUNCTION("""COMPUTED_VALUE"""),5.0)</f>
        <v>5</v>
      </c>
      <c r="K4" s="6">
        <f>IFERROR(__xludf.DUMMYFUNCTION("""COMPUTED_VALUE"""),4.2)</f>
        <v>4.2</v>
      </c>
      <c r="L4" s="6">
        <f>IFERROR(__xludf.DUMMYFUNCTION("""COMPUTED_VALUE"""),5.0)</f>
        <v>5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IFERROR(__xludf.DUMMYFUNCTION("""COMPUTED_VALUE"""),5.0)</f>
        <v>5</v>
      </c>
      <c r="P4" s="6">
        <f>IFERROR(__xludf.DUMMYFUNCTION("""COMPUTED_VALUE"""),5.0)</f>
        <v>5</v>
      </c>
      <c r="Q4" s="6"/>
      <c r="R4" s="6"/>
      <c r="S4" s="8">
        <f>IFERROR(__xludf.DUMMYFUNCTION("""COMPUTED_VALUE"""),5.0)</f>
        <v>5</v>
      </c>
      <c r="T4" s="12">
        <f>IFERROR(__xludf.DUMMYFUNCTION("""COMPUTED_VALUE"""),1.6666666666666667)</f>
        <v>1.666666667</v>
      </c>
      <c r="U4" s="6"/>
      <c r="V4" s="6"/>
      <c r="W4" s="6">
        <f>IFERROR(__xludf.DUMMYFUNCTION("""COMPUTED_VALUE"""),4.9)</f>
        <v>4.9</v>
      </c>
      <c r="X4" s="6"/>
      <c r="Y4" s="6">
        <f>IFERROR(__xludf.DUMMYFUNCTION("""COMPUTED_VALUE"""),2260368.0)</f>
        <v>2260368</v>
      </c>
      <c r="Z4" s="6"/>
    </row>
    <row r="5">
      <c r="A5" s="6">
        <f>IFERROR(__xludf.DUMMYFUNCTION("""COMPUTED_VALUE"""),4.0)</f>
        <v>4</v>
      </c>
      <c r="B5" s="5" t="str">
        <f>IFERROR(__xludf.DUMMYFUNCTION("""COMPUTED_VALUE"""),"BAEZ MURCIA DERICK SANTIAGO")</f>
        <v>BAEZ MURCIA DERICK SANTIAGO</v>
      </c>
      <c r="C5" s="6">
        <f>IFERROR(__xludf.DUMMYFUNCTION("""COMPUTED_VALUE"""),4.5)</f>
        <v>4.5</v>
      </c>
      <c r="D5" s="6">
        <f>IFERROR(__xludf.DUMMYFUNCTION("""COMPUTED_VALUE"""),2.4)</f>
        <v>2.4</v>
      </c>
      <c r="E5" s="6">
        <f>IFERROR(__xludf.DUMMYFUNCTION("""COMPUTED_VALUE"""),3.9)</f>
        <v>3.9</v>
      </c>
      <c r="F5" s="6">
        <f>IFERROR(__xludf.DUMMYFUNCTION("""COMPUTED_VALUE"""),4.0)</f>
        <v>4</v>
      </c>
      <c r="G5" s="6">
        <f>IFERROR(__xludf.DUMMYFUNCTION("""COMPUTED_VALUE"""),3.6)</f>
        <v>3.6</v>
      </c>
      <c r="H5" s="6">
        <f>IFERROR(__xludf.DUMMYFUNCTION("""COMPUTED_VALUE"""),5.0)</f>
        <v>5</v>
      </c>
      <c r="I5" s="6">
        <f>IFERROR(__xludf.DUMMYFUNCTION("""COMPUTED_VALUE"""),3.6)</f>
        <v>3.6</v>
      </c>
      <c r="J5" s="6">
        <f>IFERROR(__xludf.DUMMYFUNCTION("""COMPUTED_VALUE"""),3.5)</f>
        <v>3.5</v>
      </c>
      <c r="K5" s="6">
        <f>IFERROR(__xludf.DUMMYFUNCTION("""COMPUTED_VALUE"""),3.5)</f>
        <v>3.5</v>
      </c>
      <c r="L5" s="6">
        <f>IFERROR(__xludf.DUMMYFUNCTION("""COMPUTED_VALUE"""),0.0)</f>
        <v>0</v>
      </c>
      <c r="M5" s="6">
        <f>IFERROR(__xludf.DUMMYFUNCTION("""COMPUTED_VALUE"""),0.0)</f>
        <v>0</v>
      </c>
      <c r="N5" s="6">
        <f>IFERROR(__xludf.DUMMYFUNCTION("""COMPUTED_VALUE"""),0.0)</f>
        <v>0</v>
      </c>
      <c r="O5" s="6">
        <f>IFERROR(__xludf.DUMMYFUNCTION("""COMPUTED_VALUE"""),3.33)</f>
        <v>3.33</v>
      </c>
      <c r="P5" s="6">
        <f>IFERROR(__xludf.DUMMYFUNCTION("""COMPUTED_VALUE"""),5.0)</f>
        <v>5</v>
      </c>
      <c r="Q5" s="6"/>
      <c r="R5" s="6"/>
      <c r="S5" s="8">
        <f>IFERROR(__xludf.DUMMYFUNCTION("""COMPUTED_VALUE"""),3.575)</f>
        <v>3.575</v>
      </c>
      <c r="T5" s="12">
        <f>IFERROR(__xludf.DUMMYFUNCTION("""COMPUTED_VALUE"""),1.1916666666666667)</f>
        <v>1.191666667</v>
      </c>
      <c r="U5" s="6"/>
      <c r="V5" s="6"/>
      <c r="W5" s="6">
        <f>IFERROR(__xludf.DUMMYFUNCTION("""COMPUTED_VALUE"""),2.2)</f>
        <v>2.2</v>
      </c>
      <c r="X5" s="6"/>
      <c r="Y5" s="6">
        <f>IFERROR(__xludf.DUMMYFUNCTION("""COMPUTED_VALUE"""),2260355.0)</f>
        <v>2260355</v>
      </c>
      <c r="Z5" s="6"/>
    </row>
    <row r="6">
      <c r="A6" s="6">
        <f>IFERROR(__xludf.DUMMYFUNCTION("""COMPUTED_VALUE"""),5.0)</f>
        <v>5</v>
      </c>
      <c r="B6" s="5" t="str">
        <f>IFERROR(__xludf.DUMMYFUNCTION("""COMPUTED_VALUE"""),"CORONADO TRILLOS SANTIAGO")</f>
        <v>CORONADO TRILLOS SANTIAGO</v>
      </c>
      <c r="C6" s="6">
        <f>IFERROR(__xludf.DUMMYFUNCTION("""COMPUTED_VALUE"""),4.5)</f>
        <v>4.5</v>
      </c>
      <c r="D6" s="6">
        <f>IFERROR(__xludf.DUMMYFUNCTION("""COMPUTED_VALUE"""),3.5)</f>
        <v>3.5</v>
      </c>
      <c r="E6" s="6">
        <f>IFERROR(__xludf.DUMMYFUNCTION("""COMPUTED_VALUE"""),4.2)</f>
        <v>4.2</v>
      </c>
      <c r="F6" s="6">
        <f>IFERROR(__xludf.DUMMYFUNCTION("""COMPUTED_VALUE"""),4.0)</f>
        <v>4</v>
      </c>
      <c r="G6" s="6">
        <f>IFERROR(__xludf.DUMMYFUNCTION("""COMPUTED_VALUE"""),3.6)</f>
        <v>3.6</v>
      </c>
      <c r="H6" s="6">
        <f>IFERROR(__xludf.DUMMYFUNCTION("""COMPUTED_VALUE"""),5.0)</f>
        <v>5</v>
      </c>
      <c r="I6" s="6">
        <f>IFERROR(__xludf.DUMMYFUNCTION("""COMPUTED_VALUE"""),3.6)</f>
        <v>3.6</v>
      </c>
      <c r="J6" s="6">
        <f>IFERROR(__xludf.DUMMYFUNCTION("""COMPUTED_VALUE"""),5.0)</f>
        <v>5</v>
      </c>
      <c r="K6" s="6">
        <f>IFERROR(__xludf.DUMMYFUNCTION("""COMPUTED_VALUE"""),3.5)</f>
        <v>3.5</v>
      </c>
      <c r="L6" s="6">
        <f>IFERROR(__xludf.DUMMYFUNCTION("""COMPUTED_VALUE"""),0.0)</f>
        <v>0</v>
      </c>
      <c r="M6" s="6">
        <f>IFERROR(__xludf.DUMMYFUNCTION("""COMPUTED_VALUE"""),0.0)</f>
        <v>0</v>
      </c>
      <c r="N6" s="6">
        <f>IFERROR(__xludf.DUMMYFUNCTION("""COMPUTED_VALUE"""),0.0)</f>
        <v>0</v>
      </c>
      <c r="O6" s="6">
        <f>IFERROR(__xludf.DUMMYFUNCTION("""COMPUTED_VALUE"""),1.75)</f>
        <v>1.75</v>
      </c>
      <c r="P6" s="6">
        <f>IFERROR(__xludf.DUMMYFUNCTION("""COMPUTED_VALUE"""),5.0)</f>
        <v>5</v>
      </c>
      <c r="Q6" s="6"/>
      <c r="R6" s="6"/>
      <c r="S6" s="8">
        <f>IFERROR(__xludf.DUMMYFUNCTION("""COMPUTED_VALUE"""),3.91)</f>
        <v>3.91</v>
      </c>
      <c r="T6" s="12">
        <f>IFERROR(__xludf.DUMMYFUNCTION("""COMPUTED_VALUE"""),1.3033333333333335)</f>
        <v>1.303333333</v>
      </c>
      <c r="U6" s="6"/>
      <c r="V6" s="6"/>
      <c r="W6" s="6">
        <f>IFERROR(__xludf.DUMMYFUNCTION("""COMPUTED_VALUE"""),2.2)</f>
        <v>2.2</v>
      </c>
      <c r="X6" s="6"/>
      <c r="Y6" s="6">
        <f>IFERROR(__xludf.DUMMYFUNCTION("""COMPUTED_VALUE"""),2260338.0)</f>
        <v>2260338</v>
      </c>
      <c r="Z6" s="6"/>
    </row>
    <row r="7">
      <c r="A7" s="6">
        <f>IFERROR(__xludf.DUMMYFUNCTION("""COMPUTED_VALUE"""),6.0)</f>
        <v>6</v>
      </c>
      <c r="B7" s="5" t="str">
        <f>IFERROR(__xludf.DUMMYFUNCTION("""COMPUTED_VALUE"""),"DELGADO SUAREZ ALVARO DAVID")</f>
        <v>DELGADO SUAREZ ALVARO DAVID</v>
      </c>
      <c r="C7" s="6">
        <f>IFERROR(__xludf.DUMMYFUNCTION("""COMPUTED_VALUE"""),5.0)</f>
        <v>5</v>
      </c>
      <c r="D7" s="6">
        <f>IFERROR(__xludf.DUMMYFUNCTION("""COMPUTED_VALUE"""),4.5)</f>
        <v>4.5</v>
      </c>
      <c r="E7" s="6">
        <f>IFERROR(__xludf.DUMMYFUNCTION("""COMPUTED_VALUE"""),5.0)</f>
        <v>5</v>
      </c>
      <c r="F7" s="6">
        <f>IFERROR(__xludf.DUMMYFUNCTION("""COMPUTED_VALUE"""),5.0)</f>
        <v>5</v>
      </c>
      <c r="G7" s="6">
        <f>IFERROR(__xludf.DUMMYFUNCTION("""COMPUTED_VALUE"""),5.0)</f>
        <v>5</v>
      </c>
      <c r="H7" s="6">
        <f>IFERROR(__xludf.DUMMYFUNCTION("""COMPUTED_VALUE"""),5.0)</f>
        <v>5</v>
      </c>
      <c r="I7" s="6">
        <f>IFERROR(__xludf.DUMMYFUNCTION("""COMPUTED_VALUE"""),5.0)</f>
        <v>5</v>
      </c>
      <c r="J7" s="6">
        <f>IFERROR(__xludf.DUMMYFUNCTION("""COMPUTED_VALUE"""),5.0)</f>
        <v>5</v>
      </c>
      <c r="K7" s="6">
        <f>IFERROR(__xludf.DUMMYFUNCTION("""COMPUTED_VALUE"""),5.0)</f>
        <v>5</v>
      </c>
      <c r="L7" s="6">
        <f>IFERROR(__xludf.DUMMYFUNCTION("""COMPUTED_VALUE"""),5.0)</f>
        <v>5</v>
      </c>
      <c r="M7" s="6">
        <f>IFERROR(__xludf.DUMMYFUNCTION("""COMPUTED_VALUE"""),5.0)</f>
        <v>5</v>
      </c>
      <c r="N7" s="6">
        <f>IFERROR(__xludf.DUMMYFUNCTION("""COMPUTED_VALUE"""),5.0)</f>
        <v>5</v>
      </c>
      <c r="O7" s="6">
        <f>IFERROR(__xludf.DUMMYFUNCTION("""COMPUTED_VALUE"""),4.62)</f>
        <v>4.62</v>
      </c>
      <c r="P7" s="6">
        <f>IFERROR(__xludf.DUMMYFUNCTION("""COMPUTED_VALUE"""),5.0)</f>
        <v>5</v>
      </c>
      <c r="Q7" s="6"/>
      <c r="R7" s="6"/>
      <c r="S7" s="8">
        <f>IFERROR(__xludf.DUMMYFUNCTION("""COMPUTED_VALUE"""),4.875)</f>
        <v>4.875</v>
      </c>
      <c r="T7" s="12">
        <f>IFERROR(__xludf.DUMMYFUNCTION("""COMPUTED_VALUE"""),1.625)</f>
        <v>1.625</v>
      </c>
      <c r="U7" s="6"/>
      <c r="V7" s="6"/>
      <c r="W7" s="6">
        <f>IFERROR(__xludf.DUMMYFUNCTION("""COMPUTED_VALUE"""),4.9)</f>
        <v>4.9</v>
      </c>
      <c r="X7" s="6"/>
      <c r="Y7" s="6">
        <f>IFERROR(__xludf.DUMMYFUNCTION("""COMPUTED_VALUE"""),2260354.0)</f>
        <v>2260354</v>
      </c>
      <c r="Z7" s="6"/>
    </row>
    <row r="8">
      <c r="A8" s="6">
        <f>IFERROR(__xludf.DUMMYFUNCTION("""COMPUTED_VALUE"""),7.0)</f>
        <v>7</v>
      </c>
      <c r="B8" s="5" t="str">
        <f>IFERROR(__xludf.DUMMYFUNCTION("""COMPUTED_VALUE"""),"DIAZ SEGURA ANDRES FERNANDO")</f>
        <v>DIAZ SEGURA ANDRES FERNANDO</v>
      </c>
      <c r="C8" s="6">
        <f>IFERROR(__xludf.DUMMYFUNCTION("""COMPUTED_VALUE"""),5.0)</f>
        <v>5</v>
      </c>
      <c r="D8" s="6">
        <f>IFERROR(__xludf.DUMMYFUNCTION("""COMPUTED_VALUE"""),3.5)</f>
        <v>3.5</v>
      </c>
      <c r="E8" s="6">
        <f>IFERROR(__xludf.DUMMYFUNCTION("""COMPUTED_VALUE"""),5.0)</f>
        <v>5</v>
      </c>
      <c r="F8" s="6">
        <f>IFERROR(__xludf.DUMMYFUNCTION("""COMPUTED_VALUE"""),5.0)</f>
        <v>5</v>
      </c>
      <c r="G8" s="6">
        <f>IFERROR(__xludf.DUMMYFUNCTION("""COMPUTED_VALUE"""),5.0)</f>
        <v>5</v>
      </c>
      <c r="H8" s="6">
        <f>IFERROR(__xludf.DUMMYFUNCTION("""COMPUTED_VALUE"""),5.0)</f>
        <v>5</v>
      </c>
      <c r="I8" s="6">
        <f>IFERROR(__xludf.DUMMYFUNCTION("""COMPUTED_VALUE"""),5.0)</f>
        <v>5</v>
      </c>
      <c r="J8" s="6">
        <f>IFERROR(__xludf.DUMMYFUNCTION("""COMPUTED_VALUE"""),5.0)</f>
        <v>5</v>
      </c>
      <c r="K8" s="6">
        <f>IFERROR(__xludf.DUMMYFUNCTION("""COMPUTED_VALUE"""),5.0)</f>
        <v>5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IFERROR(__xludf.DUMMYFUNCTION("""COMPUTED_VALUE"""),5.0)</f>
        <v>5</v>
      </c>
      <c r="O8" s="6">
        <f>IFERROR(__xludf.DUMMYFUNCTION("""COMPUTED_VALUE"""),5.0)</f>
        <v>5</v>
      </c>
      <c r="P8" s="6">
        <f>IFERROR(__xludf.DUMMYFUNCTION("""COMPUTED_VALUE"""),5.0)</f>
        <v>5</v>
      </c>
      <c r="Q8" s="6"/>
      <c r="R8" s="6"/>
      <c r="S8" s="8">
        <f>IFERROR(__xludf.DUMMYFUNCTION("""COMPUTED_VALUE"""),4.625)</f>
        <v>4.625</v>
      </c>
      <c r="T8" s="12">
        <f>IFERROR(__xludf.DUMMYFUNCTION("""COMPUTED_VALUE"""),1.5416666666666667)</f>
        <v>1.541666667</v>
      </c>
      <c r="U8" s="6"/>
      <c r="V8" s="6"/>
      <c r="W8" s="6">
        <f>IFERROR(__xludf.DUMMYFUNCTION("""COMPUTED_VALUE"""),5.0)</f>
        <v>5</v>
      </c>
      <c r="X8" s="6"/>
      <c r="Y8" s="6">
        <f>IFERROR(__xludf.DUMMYFUNCTION("""COMPUTED_VALUE"""),2260370.0)</f>
        <v>2260370</v>
      </c>
      <c r="Z8" s="6"/>
    </row>
    <row r="9">
      <c r="A9" s="6">
        <f>IFERROR(__xludf.DUMMYFUNCTION("""COMPUTED_VALUE"""),8.0)</f>
        <v>8</v>
      </c>
      <c r="B9" s="5" t="str">
        <f>IFERROR(__xludf.DUMMYFUNCTION("""COMPUTED_VALUE"""),"FERNANDEZ PINTO DANNA ALEJANDRA")</f>
        <v>FERNANDEZ PINTO DANNA ALEJANDRA</v>
      </c>
      <c r="C9" s="6">
        <f>IFERROR(__xludf.DUMMYFUNCTION("""COMPUTED_VALUE"""),4.5)</f>
        <v>4.5</v>
      </c>
      <c r="D9" s="6">
        <f>IFERROR(__xludf.DUMMYFUNCTION("""COMPUTED_VALUE"""),4.5)</f>
        <v>4.5</v>
      </c>
      <c r="E9" s="6">
        <f>IFERROR(__xludf.DUMMYFUNCTION("""COMPUTED_VALUE"""),3.5)</f>
        <v>3.5</v>
      </c>
      <c r="F9" s="6">
        <f>IFERROR(__xludf.DUMMYFUNCTION("""COMPUTED_VALUE"""),2.0)</f>
        <v>2</v>
      </c>
      <c r="G9" s="6">
        <f>IFERROR(__xludf.DUMMYFUNCTION("""COMPUTED_VALUE"""),4.8)</f>
        <v>4.8</v>
      </c>
      <c r="H9" s="6">
        <f>IFERROR(__xludf.DUMMYFUNCTION("""COMPUTED_VALUE"""),5.0)</f>
        <v>5</v>
      </c>
      <c r="I9" s="6">
        <f>IFERROR(__xludf.DUMMYFUNCTION("""COMPUTED_VALUE"""),4.8)</f>
        <v>4.8</v>
      </c>
      <c r="J9" s="6">
        <f>IFERROR(__xludf.DUMMYFUNCTION("""COMPUTED_VALUE"""),3.5)</f>
        <v>3.5</v>
      </c>
      <c r="K9" s="6">
        <f>IFERROR(__xludf.DUMMYFUNCTION("""COMPUTED_VALUE"""),5.0)</f>
        <v>5</v>
      </c>
      <c r="L9" s="6">
        <f>IFERROR(__xludf.DUMMYFUNCTION("""COMPUTED_VALUE"""),5.0)</f>
        <v>5</v>
      </c>
      <c r="M9" s="6">
        <f>IFERROR(__xludf.DUMMYFUNCTION("""COMPUTED_VALUE"""),5.0)</f>
        <v>5</v>
      </c>
      <c r="N9" s="6">
        <f>IFERROR(__xludf.DUMMYFUNCTION("""COMPUTED_VALUE"""),5.0)</f>
        <v>5</v>
      </c>
      <c r="O9" s="6">
        <f>IFERROR(__xludf.DUMMYFUNCTION("""COMPUTED_VALUE"""),3.33)</f>
        <v>3.33</v>
      </c>
      <c r="P9" s="6">
        <f>IFERROR(__xludf.DUMMYFUNCTION("""COMPUTED_VALUE"""),5.0)</f>
        <v>5</v>
      </c>
      <c r="Q9" s="6"/>
      <c r="R9" s="6"/>
      <c r="S9" s="8">
        <f>IFERROR(__xludf.DUMMYFUNCTION("""COMPUTED_VALUE"""),3.86)</f>
        <v>3.86</v>
      </c>
      <c r="T9" s="12">
        <f>IFERROR(__xludf.DUMMYFUNCTION("""COMPUTED_VALUE"""),1.2866666666666666)</f>
        <v>1.286666667</v>
      </c>
      <c r="U9" s="6"/>
      <c r="V9" s="6"/>
      <c r="W9" s="6">
        <f>IFERROR(__xludf.DUMMYFUNCTION("""COMPUTED_VALUE"""),4.5)</f>
        <v>4.5</v>
      </c>
      <c r="X9" s="6"/>
      <c r="Y9" s="6">
        <f>IFERROR(__xludf.DUMMYFUNCTION("""COMPUTED_VALUE"""),2260346.0)</f>
        <v>2260346</v>
      </c>
      <c r="Z9" s="6"/>
    </row>
    <row r="10">
      <c r="A10" s="6">
        <f>IFERROR(__xludf.DUMMYFUNCTION("""COMPUTED_VALUE"""),9.0)</f>
        <v>9</v>
      </c>
      <c r="B10" s="5" t="str">
        <f>IFERROR(__xludf.DUMMYFUNCTION("""COMPUTED_VALUE"""),"GOMEZ CARREÑO JOEL OLINTO")</f>
        <v>GOMEZ CARREÑO JOEL OLINTO</v>
      </c>
      <c r="C10" s="6">
        <f>IFERROR(__xludf.DUMMYFUNCTION("""COMPUTED_VALUE"""),5.0)</f>
        <v>5</v>
      </c>
      <c r="D10" s="6">
        <f>IFERROR(__xludf.DUMMYFUNCTION("""COMPUTED_VALUE"""),5.0)</f>
        <v>5</v>
      </c>
      <c r="E10" s="6">
        <f>IFERROR(__xludf.DUMMYFUNCTION("""COMPUTED_VALUE"""),5.0)</f>
        <v>5</v>
      </c>
      <c r="F10" s="6">
        <f>IFERROR(__xludf.DUMMYFUNCTION("""COMPUTED_VALUE"""),5.0)</f>
        <v>5</v>
      </c>
      <c r="G10" s="6">
        <f>IFERROR(__xludf.DUMMYFUNCTION("""COMPUTED_VALUE"""),4.8)</f>
        <v>4.8</v>
      </c>
      <c r="H10" s="6">
        <f>IFERROR(__xludf.DUMMYFUNCTION("""COMPUTED_VALUE"""),5.0)</f>
        <v>5</v>
      </c>
      <c r="I10" s="6">
        <f>IFERROR(__xludf.DUMMYFUNCTION("""COMPUTED_VALUE"""),4.8)</f>
        <v>4.8</v>
      </c>
      <c r="J10" s="6">
        <f>IFERROR(__xludf.DUMMYFUNCTION("""COMPUTED_VALUE"""),2.0)</f>
        <v>2</v>
      </c>
      <c r="K10" s="6">
        <f>IFERROR(__xludf.DUMMYFUNCTION("""COMPUTED_VALUE"""),5.0)</f>
        <v>5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/>
      <c r="R10" s="6"/>
      <c r="S10" s="8">
        <f>IFERROR(__xludf.DUMMYFUNCTION("""COMPUTED_VALUE"""),4.96)</f>
        <v>4.96</v>
      </c>
      <c r="T10" s="12">
        <f>IFERROR(__xludf.DUMMYFUNCTION("""COMPUTED_VALUE"""),1.6533333333333333)</f>
        <v>1.653333333</v>
      </c>
      <c r="U10" s="6"/>
      <c r="V10" s="6"/>
      <c r="W10" s="6">
        <f>IFERROR(__xludf.DUMMYFUNCTION("""COMPUTED_VALUE"""),4.6)</f>
        <v>4.6</v>
      </c>
      <c r="X10" s="6"/>
      <c r="Y10" s="6">
        <f>IFERROR(__xludf.DUMMYFUNCTION("""COMPUTED_VALUE"""),2260341.0)</f>
        <v>2260341</v>
      </c>
      <c r="Z10" s="6"/>
    </row>
    <row r="11">
      <c r="A11" s="6">
        <f>IFERROR(__xludf.DUMMYFUNCTION("""COMPUTED_VALUE"""),10.0)</f>
        <v>10</v>
      </c>
      <c r="B11" s="5" t="str">
        <f>IFERROR(__xludf.DUMMYFUNCTION("""COMPUTED_VALUE"""),"GOMEZ MARTINEZ SERGIO DANIEL")</f>
        <v>GOMEZ MARTINEZ SERGIO DANIEL</v>
      </c>
      <c r="C11" s="6">
        <f>IFERROR(__xludf.DUMMYFUNCTION("""COMPUTED_VALUE"""),5.0)</f>
        <v>5</v>
      </c>
      <c r="D11" s="6">
        <f>IFERROR(__xludf.DUMMYFUNCTION("""COMPUTED_VALUE"""),4.0)</f>
        <v>4</v>
      </c>
      <c r="E11" s="6">
        <f>IFERROR(__xludf.DUMMYFUNCTION("""COMPUTED_VALUE"""),5.0)</f>
        <v>5</v>
      </c>
      <c r="F11" s="6">
        <f>IFERROR(__xludf.DUMMYFUNCTION("""COMPUTED_VALUE"""),5.0)</f>
        <v>5</v>
      </c>
      <c r="G11" s="6">
        <f>IFERROR(__xludf.DUMMYFUNCTION("""COMPUTED_VALUE"""),4.9)</f>
        <v>4.9</v>
      </c>
      <c r="H11" s="6">
        <f>IFERROR(__xludf.DUMMYFUNCTION("""COMPUTED_VALUE"""),5.0)</f>
        <v>5</v>
      </c>
      <c r="I11" s="6">
        <f>IFERROR(__xludf.DUMMYFUNCTION("""COMPUTED_VALUE"""),4.9)</f>
        <v>4.9</v>
      </c>
      <c r="J11" s="6">
        <f>IFERROR(__xludf.DUMMYFUNCTION("""COMPUTED_VALUE"""),4.5)</f>
        <v>4.5</v>
      </c>
      <c r="K11" s="6">
        <f>IFERROR(__xludf.DUMMYFUNCTION("""COMPUTED_VALUE"""),4.2)</f>
        <v>4.2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IFERROR(__xludf.DUMMYFUNCTION("""COMPUTED_VALUE"""),4.17)</f>
        <v>4.17</v>
      </c>
      <c r="P11" s="6">
        <f>IFERROR(__xludf.DUMMYFUNCTION("""COMPUTED_VALUE"""),5.0)</f>
        <v>5</v>
      </c>
      <c r="Q11" s="6"/>
      <c r="R11" s="6"/>
      <c r="S11" s="8">
        <f>IFERROR(__xludf.DUMMYFUNCTION("""COMPUTED_VALUE"""),4.73)</f>
        <v>4.73</v>
      </c>
      <c r="T11" s="12">
        <f>IFERROR(__xludf.DUMMYFUNCTION("""COMPUTED_VALUE"""),1.5766666666666669)</f>
        <v>1.576666667</v>
      </c>
      <c r="U11" s="6"/>
      <c r="V11" s="6"/>
      <c r="W11" s="6">
        <f>IFERROR(__xludf.DUMMYFUNCTION("""COMPUTED_VALUE"""),4.7)</f>
        <v>4.7</v>
      </c>
      <c r="X11" s="6"/>
      <c r="Y11" s="6">
        <f>IFERROR(__xludf.DUMMYFUNCTION("""COMPUTED_VALUE"""),2260360.0)</f>
        <v>2260360</v>
      </c>
      <c r="Z11" s="6"/>
    </row>
    <row r="12">
      <c r="A12" s="6">
        <f>IFERROR(__xludf.DUMMYFUNCTION("""COMPUTED_VALUE"""),11.0)</f>
        <v>11</v>
      </c>
      <c r="B12" s="5" t="str">
        <f>IFERROR(__xludf.DUMMYFUNCTION("""COMPUTED_VALUE"""),"GONZALEZ LEON JULIAN JOSE")</f>
        <v>GONZALEZ LEON JULIAN JOSE</v>
      </c>
      <c r="C12" s="6">
        <f>IFERROR(__xludf.DUMMYFUNCTION("""COMPUTED_VALUE"""),5.0)</f>
        <v>5</v>
      </c>
      <c r="D12" s="6">
        <f>IFERROR(__xludf.DUMMYFUNCTION("""COMPUTED_VALUE"""),4.5)</f>
        <v>4.5</v>
      </c>
      <c r="E12" s="6">
        <f>IFERROR(__xludf.DUMMYFUNCTION("""COMPUTED_VALUE"""),4.9)</f>
        <v>4.9</v>
      </c>
      <c r="F12" s="6">
        <f>IFERROR(__xludf.DUMMYFUNCTION("""COMPUTED_VALUE"""),5.0)</f>
        <v>5</v>
      </c>
      <c r="G12" s="6">
        <f>IFERROR(__xludf.DUMMYFUNCTION("""COMPUTED_VALUE"""),5.0)</f>
        <v>5</v>
      </c>
      <c r="H12" s="6">
        <f>IFERROR(__xludf.DUMMYFUNCTION("""COMPUTED_VALUE"""),5.0)</f>
        <v>5</v>
      </c>
      <c r="I12" s="6">
        <f>IFERROR(__xludf.DUMMYFUNCTION("""COMPUTED_VALUE"""),5.0)</f>
        <v>5</v>
      </c>
      <c r="J12" s="6">
        <f>IFERROR(__xludf.DUMMYFUNCTION("""COMPUTED_VALUE"""),5.0)</f>
        <v>5</v>
      </c>
      <c r="K12" s="6">
        <f>IFERROR(__xludf.DUMMYFUNCTION("""COMPUTED_VALUE"""),5.0)</f>
        <v>5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IFERROR(__xludf.DUMMYFUNCTION("""COMPUTED_VALUE"""),4.55)</f>
        <v>4.55</v>
      </c>
      <c r="P12" s="6">
        <f>IFERROR(__xludf.DUMMYFUNCTION("""COMPUTED_VALUE"""),5.0)</f>
        <v>5</v>
      </c>
      <c r="Q12" s="6"/>
      <c r="R12" s="6"/>
      <c r="S12" s="8">
        <f>IFERROR(__xludf.DUMMYFUNCTION("""COMPUTED_VALUE"""),4.855)</f>
        <v>4.855</v>
      </c>
      <c r="T12" s="12">
        <f>IFERROR(__xludf.DUMMYFUNCTION("""COMPUTED_VALUE"""),1.6183333333333334)</f>
        <v>1.618333333</v>
      </c>
      <c r="U12" s="6"/>
      <c r="V12" s="6"/>
      <c r="W12" s="6">
        <f>IFERROR(__xludf.DUMMYFUNCTION("""COMPUTED_VALUE"""),4.9)</f>
        <v>4.9</v>
      </c>
      <c r="X12" s="6"/>
      <c r="Y12" s="6">
        <f>IFERROR(__xludf.DUMMYFUNCTION("""COMPUTED_VALUE"""),2260361.0)</f>
        <v>2260361</v>
      </c>
      <c r="Z12" s="6"/>
    </row>
    <row r="13">
      <c r="A13" s="6">
        <f>IFERROR(__xludf.DUMMYFUNCTION("""COMPUTED_VALUE"""),12.0)</f>
        <v>12</v>
      </c>
      <c r="B13" s="5" t="str">
        <f>IFERROR(__xludf.DUMMYFUNCTION("""COMPUTED_VALUE"""),"HERNANDEZ BUITRAGO JUAN DAVID")</f>
        <v>HERNANDEZ BUITRAGO JUAN DAVID</v>
      </c>
      <c r="C13" s="6">
        <f>IFERROR(__xludf.DUMMYFUNCTION("""COMPUTED_VALUE"""),4.5)</f>
        <v>4.5</v>
      </c>
      <c r="D13" s="6">
        <f>IFERROR(__xludf.DUMMYFUNCTION("""COMPUTED_VALUE"""),4.5)</f>
        <v>4.5</v>
      </c>
      <c r="E13" s="6">
        <f>IFERROR(__xludf.DUMMYFUNCTION("""COMPUTED_VALUE"""),5.0)</f>
        <v>5</v>
      </c>
      <c r="F13" s="6">
        <f>IFERROR(__xludf.DUMMYFUNCTION("""COMPUTED_VALUE"""),4.5)</f>
        <v>4.5</v>
      </c>
      <c r="G13" s="6">
        <f>IFERROR(__xludf.DUMMYFUNCTION("""COMPUTED_VALUE"""),5.0)</f>
        <v>5</v>
      </c>
      <c r="H13" s="6">
        <f>IFERROR(__xludf.DUMMYFUNCTION("""COMPUTED_VALUE"""),5.0)</f>
        <v>5</v>
      </c>
      <c r="I13" s="6">
        <f>IFERROR(__xludf.DUMMYFUNCTION("""COMPUTED_VALUE"""),5.0)</f>
        <v>5</v>
      </c>
      <c r="J13" s="6">
        <f>IFERROR(__xludf.DUMMYFUNCTION("""COMPUTED_VALUE"""),5.0)</f>
        <v>5</v>
      </c>
      <c r="K13" s="6">
        <f>IFERROR(__xludf.DUMMYFUNCTION("""COMPUTED_VALUE"""),5.0)</f>
        <v>5</v>
      </c>
      <c r="L13" s="6">
        <f>IFERROR(__xludf.DUMMYFUNCTION("""COMPUTED_VALUE"""),5.0)</f>
        <v>5</v>
      </c>
      <c r="M13" s="6">
        <f>IFERROR(__xludf.DUMMYFUNCTION("""COMPUTED_VALUE"""),5.0)</f>
        <v>5</v>
      </c>
      <c r="N13" s="6">
        <f>IFERROR(__xludf.DUMMYFUNCTION("""COMPUTED_VALUE"""),5.0)</f>
        <v>5</v>
      </c>
      <c r="O13" s="6">
        <f>IFERROR(__xludf.DUMMYFUNCTION("""COMPUTED_VALUE"""),5.0)</f>
        <v>5</v>
      </c>
      <c r="P13" s="6">
        <f>IFERROR(__xludf.DUMMYFUNCTION("""COMPUTED_VALUE"""),5.0)</f>
        <v>5</v>
      </c>
      <c r="Q13" s="6"/>
      <c r="R13" s="6"/>
      <c r="S13" s="8">
        <f>IFERROR(__xludf.DUMMYFUNCTION("""COMPUTED_VALUE"""),4.7)</f>
        <v>4.7</v>
      </c>
      <c r="T13" s="12">
        <f>IFERROR(__xludf.DUMMYFUNCTION("""COMPUTED_VALUE"""),1.5666666666666667)</f>
        <v>1.566666667</v>
      </c>
      <c r="U13" s="6"/>
      <c r="V13" s="6"/>
      <c r="W13" s="6">
        <f>IFERROR(__xludf.DUMMYFUNCTION("""COMPUTED_VALUE"""),5.0)</f>
        <v>5</v>
      </c>
      <c r="X13" s="6"/>
      <c r="Y13" s="6">
        <f>IFERROR(__xludf.DUMMYFUNCTION("""COMPUTED_VALUE"""),2260356.0)</f>
        <v>2260356</v>
      </c>
      <c r="Z13" s="6"/>
    </row>
    <row r="14">
      <c r="A14" s="6">
        <f>IFERROR(__xludf.DUMMYFUNCTION("""COMPUTED_VALUE"""),13.0)</f>
        <v>13</v>
      </c>
      <c r="B14" s="5" t="str">
        <f>IFERROR(__xludf.DUMMYFUNCTION("""COMPUTED_VALUE"""),"MENDOZA ESPINEL STEVEN DUVAN")</f>
        <v>MENDOZA ESPINEL STEVEN DUVAN</v>
      </c>
      <c r="C14" s="6">
        <f>IFERROR(__xludf.DUMMYFUNCTION("""COMPUTED_VALUE"""),5.0)</f>
        <v>5</v>
      </c>
      <c r="D14" s="6">
        <f>IFERROR(__xludf.DUMMYFUNCTION("""COMPUTED_VALUE"""),4.9)</f>
        <v>4.9</v>
      </c>
      <c r="E14" s="6">
        <f>IFERROR(__xludf.DUMMYFUNCTION("""COMPUTED_VALUE"""),5.0)</f>
        <v>5</v>
      </c>
      <c r="F14" s="6">
        <f>IFERROR(__xludf.DUMMYFUNCTION("""COMPUTED_VALUE"""),5.0)</f>
        <v>5</v>
      </c>
      <c r="G14" s="6">
        <f>IFERROR(__xludf.DUMMYFUNCTION("""COMPUTED_VALUE"""),5.0)</f>
        <v>5</v>
      </c>
      <c r="H14" s="6">
        <f>IFERROR(__xludf.DUMMYFUNCTION("""COMPUTED_VALUE"""),5.0)</f>
        <v>5</v>
      </c>
      <c r="I14" s="6">
        <f>IFERROR(__xludf.DUMMYFUNCTION("""COMPUTED_VALUE"""),5.0)</f>
        <v>5</v>
      </c>
      <c r="J14" s="6">
        <f>IFERROR(__xludf.DUMMYFUNCTION("""COMPUTED_VALUE"""),5.0)</f>
        <v>5</v>
      </c>
      <c r="K14" s="6">
        <f>IFERROR(__xludf.DUMMYFUNCTION("""COMPUTED_VALUE"""),5.0)</f>
        <v>5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IFERROR(__xludf.DUMMYFUNCTION("""COMPUTED_VALUE"""),4.55)</f>
        <v>4.55</v>
      </c>
      <c r="P14" s="6">
        <f>IFERROR(__xludf.DUMMYFUNCTION("""COMPUTED_VALUE"""),5.0)</f>
        <v>5</v>
      </c>
      <c r="Q14" s="6"/>
      <c r="R14" s="6"/>
      <c r="S14" s="8">
        <f>IFERROR(__xludf.DUMMYFUNCTION("""COMPUTED_VALUE"""),4.975)</f>
        <v>4.975</v>
      </c>
      <c r="T14" s="12">
        <f>IFERROR(__xludf.DUMMYFUNCTION("""COMPUTED_VALUE"""),1.6583333333333332)</f>
        <v>1.658333333</v>
      </c>
      <c r="U14" s="6"/>
      <c r="V14" s="6"/>
      <c r="W14" s="6">
        <f>IFERROR(__xludf.DUMMYFUNCTION("""COMPUTED_VALUE"""),4.9)</f>
        <v>4.9</v>
      </c>
      <c r="X14" s="6"/>
      <c r="Y14" s="6">
        <f>IFERROR(__xludf.DUMMYFUNCTION("""COMPUTED_VALUE"""),2260363.0)</f>
        <v>2260363</v>
      </c>
      <c r="Z14" s="6"/>
    </row>
    <row r="15">
      <c r="A15" s="6">
        <f>IFERROR(__xludf.DUMMYFUNCTION("""COMPUTED_VALUE"""),14.0)</f>
        <v>14</v>
      </c>
      <c r="B15" s="5" t="str">
        <f>IFERROR(__xludf.DUMMYFUNCTION("""COMPUTED_VALUE"""),"MONCADA VEGA DYLAN JULIAN")</f>
        <v>MONCADA VEGA DYLAN JULIAN</v>
      </c>
      <c r="C15" s="6">
        <f>IFERROR(__xludf.DUMMYFUNCTION("""COMPUTED_VALUE"""),5.0)</f>
        <v>5</v>
      </c>
      <c r="D15" s="6">
        <f>IFERROR(__xludf.DUMMYFUNCTION("""COMPUTED_VALUE"""),5.0)</f>
        <v>5</v>
      </c>
      <c r="E15" s="6">
        <f>IFERROR(__xludf.DUMMYFUNCTION("""COMPUTED_VALUE"""),4.9)</f>
        <v>4.9</v>
      </c>
      <c r="F15" s="6">
        <f>IFERROR(__xludf.DUMMYFUNCTION("""COMPUTED_VALUE"""),5.0)</f>
        <v>5</v>
      </c>
      <c r="G15" s="6">
        <f>IFERROR(__xludf.DUMMYFUNCTION("""COMPUTED_VALUE"""),4.3)</f>
        <v>4.3</v>
      </c>
      <c r="H15" s="6">
        <f>IFERROR(__xludf.DUMMYFUNCTION("""COMPUTED_VALUE"""),5.0)</f>
        <v>5</v>
      </c>
      <c r="I15" s="6">
        <f>IFERROR(__xludf.DUMMYFUNCTION("""COMPUTED_VALUE"""),4.3)</f>
        <v>4.3</v>
      </c>
      <c r="J15" s="6">
        <f>IFERROR(__xludf.DUMMYFUNCTION("""COMPUTED_VALUE"""),5.0)</f>
        <v>5</v>
      </c>
      <c r="K15" s="6">
        <f>IFERROR(__xludf.DUMMYFUNCTION("""COMPUTED_VALUE"""),5.0)</f>
        <v>5</v>
      </c>
      <c r="L15" s="6">
        <f>IFERROR(__xludf.DUMMYFUNCTION("""COMPUTED_VALUE"""),0.0)</f>
        <v>0</v>
      </c>
      <c r="M15" s="6">
        <f>IFERROR(__xludf.DUMMYFUNCTION("""COMPUTED_VALUE"""),5.0)</f>
        <v>5</v>
      </c>
      <c r="N15" s="6">
        <f>IFERROR(__xludf.DUMMYFUNCTION("""COMPUTED_VALUE"""),0.0)</f>
        <v>0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/>
      <c r="R15" s="6"/>
      <c r="S15" s="8">
        <f>IFERROR(__xludf.DUMMYFUNCTION("""COMPUTED_VALUE"""),4.840000000000001)</f>
        <v>4.84</v>
      </c>
      <c r="T15" s="12">
        <f>IFERROR(__xludf.DUMMYFUNCTION("""COMPUTED_VALUE"""),1.6133333333333335)</f>
        <v>1.613333333</v>
      </c>
      <c r="U15" s="6"/>
      <c r="V15" s="6"/>
      <c r="W15" s="6">
        <f>IFERROR(__xludf.DUMMYFUNCTION("""COMPUTED_VALUE"""),3.6)</f>
        <v>3.6</v>
      </c>
      <c r="X15" s="6"/>
      <c r="Y15" s="6">
        <f>IFERROR(__xludf.DUMMYFUNCTION("""COMPUTED_VALUE"""),2260372.0)</f>
        <v>2260372</v>
      </c>
      <c r="Z15" s="6"/>
    </row>
    <row r="16">
      <c r="A16" s="6">
        <f>IFERROR(__xludf.DUMMYFUNCTION("""COMPUTED_VALUE"""),15.0)</f>
        <v>15</v>
      </c>
      <c r="B16" s="5" t="str">
        <f>IFERROR(__xludf.DUMMYFUNCTION("""COMPUTED_VALUE"""),"MURCIA MIRANDA FELIPE")</f>
        <v>MURCIA MIRANDA FELIPE</v>
      </c>
      <c r="C16" s="6">
        <f>IFERROR(__xludf.DUMMYFUNCTION("""COMPUTED_VALUE"""),3.8)</f>
        <v>3.8</v>
      </c>
      <c r="D16" s="6">
        <f>IFERROR(__xludf.DUMMYFUNCTION("""COMPUTED_VALUE"""),2.5)</f>
        <v>2.5</v>
      </c>
      <c r="E16" s="6">
        <f>IFERROR(__xludf.DUMMYFUNCTION("""COMPUTED_VALUE"""),4.9)</f>
        <v>4.9</v>
      </c>
      <c r="F16" s="6">
        <f>IFERROR(__xludf.DUMMYFUNCTION("""COMPUTED_VALUE"""),5.0)</f>
        <v>5</v>
      </c>
      <c r="G16" s="6">
        <f>IFERROR(__xludf.DUMMYFUNCTION("""COMPUTED_VALUE"""),4.1)</f>
        <v>4.1</v>
      </c>
      <c r="H16" s="6">
        <f>IFERROR(__xludf.DUMMYFUNCTION("""COMPUTED_VALUE"""),5.0)</f>
        <v>5</v>
      </c>
      <c r="I16" s="6">
        <f>IFERROR(__xludf.DUMMYFUNCTION("""COMPUTED_VALUE"""),4.1)</f>
        <v>4.1</v>
      </c>
      <c r="J16" s="6">
        <f>IFERROR(__xludf.DUMMYFUNCTION("""COMPUTED_VALUE"""),5.0)</f>
        <v>5</v>
      </c>
      <c r="K16" s="6">
        <f>IFERROR(__xludf.DUMMYFUNCTION("""COMPUTED_VALUE"""),4.2)</f>
        <v>4.2</v>
      </c>
      <c r="L16" s="6">
        <f>IFERROR(__xludf.DUMMYFUNCTION("""COMPUTED_VALUE"""),0.0)</f>
        <v>0</v>
      </c>
      <c r="M16" s="6">
        <f>IFERROR(__xludf.DUMMYFUNCTION("""COMPUTED_VALUE"""),0.0)</f>
        <v>0</v>
      </c>
      <c r="N16" s="6">
        <f>IFERROR(__xludf.DUMMYFUNCTION("""COMPUTED_VALUE"""),5.0)</f>
        <v>5</v>
      </c>
      <c r="O16" s="6">
        <f>IFERROR(__xludf.DUMMYFUNCTION("""COMPUTED_VALUE"""),3.0)</f>
        <v>3</v>
      </c>
      <c r="P16" s="6">
        <f>IFERROR(__xludf.DUMMYFUNCTION("""COMPUTED_VALUE"""),5.0)</f>
        <v>5</v>
      </c>
      <c r="Q16" s="6"/>
      <c r="R16" s="6"/>
      <c r="S16" s="8">
        <f>IFERROR(__xludf.DUMMYFUNCTION("""COMPUTED_VALUE"""),3.995)</f>
        <v>3.995</v>
      </c>
      <c r="T16" s="12">
        <f>IFERROR(__xludf.DUMMYFUNCTION("""COMPUTED_VALUE"""),1.3316666666666668)</f>
        <v>1.331666667</v>
      </c>
      <c r="U16" s="6"/>
      <c r="V16" s="6"/>
      <c r="W16" s="6">
        <f>IFERROR(__xludf.DUMMYFUNCTION("""COMPUTED_VALUE"""),3.2)</f>
        <v>3.2</v>
      </c>
      <c r="X16" s="6"/>
      <c r="Y16" s="6">
        <f>IFERROR(__xludf.DUMMYFUNCTION("""COMPUTED_VALUE"""),2260340.0)</f>
        <v>2260340</v>
      </c>
      <c r="Z16" s="6"/>
    </row>
    <row r="17">
      <c r="A17" s="6">
        <f>IFERROR(__xludf.DUMMYFUNCTION("""COMPUTED_VALUE"""),16.0)</f>
        <v>16</v>
      </c>
      <c r="B17" s="5" t="str">
        <f>IFERROR(__xludf.DUMMYFUNCTION("""COMPUTED_VALUE"""),"OCHOA ARDILA JORGE ANDRES")</f>
        <v>OCHOA ARDILA JORGE ANDRES</v>
      </c>
      <c r="C17" s="6">
        <f>IFERROR(__xludf.DUMMYFUNCTION("""COMPUTED_VALUE"""),4.5)</f>
        <v>4.5</v>
      </c>
      <c r="D17" s="6">
        <f>IFERROR(__xludf.DUMMYFUNCTION("""COMPUTED_VALUE"""),3.5)</f>
        <v>3.5</v>
      </c>
      <c r="E17" s="6">
        <f>IFERROR(__xludf.DUMMYFUNCTION("""COMPUTED_VALUE"""),3.3)</f>
        <v>3.3</v>
      </c>
      <c r="F17" s="6">
        <f>IFERROR(__xludf.DUMMYFUNCTION("""COMPUTED_VALUE"""),2.5)</f>
        <v>2.5</v>
      </c>
      <c r="G17" s="6">
        <f>IFERROR(__xludf.DUMMYFUNCTION("""COMPUTED_VALUE"""),4.6)</f>
        <v>4.6</v>
      </c>
      <c r="H17" s="6">
        <f>IFERROR(__xludf.DUMMYFUNCTION("""COMPUTED_VALUE"""),5.0)</f>
        <v>5</v>
      </c>
      <c r="I17" s="6">
        <f>IFERROR(__xludf.DUMMYFUNCTION("""COMPUTED_VALUE"""),4.6)</f>
        <v>4.6</v>
      </c>
      <c r="J17" s="6">
        <f>IFERROR(__xludf.DUMMYFUNCTION("""COMPUTED_VALUE"""),3.0)</f>
        <v>3</v>
      </c>
      <c r="K17" s="6">
        <f>IFERROR(__xludf.DUMMYFUNCTION("""COMPUTED_VALUE"""),5.0)</f>
        <v>5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IFERROR(__xludf.DUMMYFUNCTION("""COMPUTED_VALUE"""),0.5)</f>
        <v>0.5</v>
      </c>
      <c r="P17" s="6">
        <f>IFERROR(__xludf.DUMMYFUNCTION("""COMPUTED_VALUE"""),5.0)</f>
        <v>5</v>
      </c>
      <c r="Q17" s="6"/>
      <c r="R17" s="6"/>
      <c r="S17" s="8">
        <f>IFERROR(__xludf.DUMMYFUNCTION("""COMPUTED_VALUE"""),3.63)</f>
        <v>3.63</v>
      </c>
      <c r="T17" s="12">
        <f>IFERROR(__xludf.DUMMYFUNCTION("""COMPUTED_VALUE"""),1.21)</f>
        <v>1.21</v>
      </c>
      <c r="U17" s="6"/>
      <c r="V17" s="6"/>
      <c r="W17" s="6">
        <f>IFERROR(__xludf.DUMMYFUNCTION("""COMPUTED_VALUE"""),4.1)</f>
        <v>4.1</v>
      </c>
      <c r="X17" s="6"/>
      <c r="Y17" s="6">
        <f>IFERROR(__xludf.DUMMYFUNCTION("""COMPUTED_VALUE"""),2260344.0)</f>
        <v>2260344</v>
      </c>
      <c r="Z17" s="6"/>
    </row>
    <row r="18">
      <c r="A18" s="6">
        <f>IFERROR(__xludf.DUMMYFUNCTION("""COMPUTED_VALUE"""),17.0)</f>
        <v>17</v>
      </c>
      <c r="B18" s="5" t="str">
        <f>IFERROR(__xludf.DUMMYFUNCTION("""COMPUTED_VALUE"""),"ORTIZ COAVAS JAZMIN ADRIANA")</f>
        <v>ORTIZ COAVAS JAZMIN ADRIANA</v>
      </c>
      <c r="C18" s="6">
        <f>IFERROR(__xludf.DUMMYFUNCTION("""COMPUTED_VALUE"""),5.0)</f>
        <v>5</v>
      </c>
      <c r="D18" s="6">
        <f>IFERROR(__xludf.DUMMYFUNCTION("""COMPUTED_VALUE"""),4.5)</f>
        <v>4.5</v>
      </c>
      <c r="E18" s="6">
        <f>IFERROR(__xludf.DUMMYFUNCTION("""COMPUTED_VALUE"""),5.0)</f>
        <v>5</v>
      </c>
      <c r="F18" s="6">
        <f>IFERROR(__xludf.DUMMYFUNCTION("""COMPUTED_VALUE"""),4.0)</f>
        <v>4</v>
      </c>
      <c r="G18" s="6">
        <f>IFERROR(__xludf.DUMMYFUNCTION("""COMPUTED_VALUE"""),4.9)</f>
        <v>4.9</v>
      </c>
      <c r="H18" s="6">
        <f>IFERROR(__xludf.DUMMYFUNCTION("""COMPUTED_VALUE"""),5.0)</f>
        <v>5</v>
      </c>
      <c r="I18" s="6">
        <f>IFERROR(__xludf.DUMMYFUNCTION("""COMPUTED_VALUE"""),4.9)</f>
        <v>4.9</v>
      </c>
      <c r="J18" s="6">
        <f>IFERROR(__xludf.DUMMYFUNCTION("""COMPUTED_VALUE"""),5.0)</f>
        <v>5</v>
      </c>
      <c r="K18" s="6">
        <f>IFERROR(__xludf.DUMMYFUNCTION("""COMPUTED_VALUE"""),4.2)</f>
        <v>4.2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IFERROR(__xludf.DUMMYFUNCTION("""COMPUTED_VALUE"""),3.63)</f>
        <v>3.63</v>
      </c>
      <c r="P18" s="6">
        <f>IFERROR(__xludf.DUMMYFUNCTION("""COMPUTED_VALUE"""),5.0)</f>
        <v>5</v>
      </c>
      <c r="Q18" s="6"/>
      <c r="R18" s="6"/>
      <c r="S18" s="8">
        <f>IFERROR(__xludf.DUMMYFUNCTION("""COMPUTED_VALUE"""),4.655)</f>
        <v>4.655</v>
      </c>
      <c r="T18" s="12">
        <f>IFERROR(__xludf.DUMMYFUNCTION("""COMPUTED_VALUE"""),1.5516666666666667)</f>
        <v>1.551666667</v>
      </c>
      <c r="U18" s="6"/>
      <c r="V18" s="6"/>
      <c r="W18" s="6">
        <f>IFERROR(__xludf.DUMMYFUNCTION("""COMPUTED_VALUE"""),4.7)</f>
        <v>4.7</v>
      </c>
      <c r="X18" s="6"/>
      <c r="Y18" s="6">
        <f>IFERROR(__xludf.DUMMYFUNCTION("""COMPUTED_VALUE"""),2260366.0)</f>
        <v>2260366</v>
      </c>
      <c r="Z18" s="6"/>
    </row>
    <row r="19">
      <c r="A19" s="6">
        <f>IFERROR(__xludf.DUMMYFUNCTION("""COMPUTED_VALUE"""),18.0)</f>
        <v>18</v>
      </c>
      <c r="B19" s="5" t="str">
        <f>IFERROR(__xludf.DUMMYFUNCTION("""COMPUTED_VALUE"""),"PABON RAMIREZ SANTIAGO")</f>
        <v>PABON RAMIREZ SANTIAGO</v>
      </c>
      <c r="C19" s="6">
        <f>IFERROR(__xludf.DUMMYFUNCTION("""COMPUTED_VALUE"""),5.0)</f>
        <v>5</v>
      </c>
      <c r="D19" s="6">
        <f>IFERROR(__xludf.DUMMYFUNCTION("""COMPUTED_VALUE"""),4.0)</f>
        <v>4</v>
      </c>
      <c r="E19" s="6">
        <f>IFERROR(__xludf.DUMMYFUNCTION("""COMPUTED_VALUE"""),5.0)</f>
        <v>5</v>
      </c>
      <c r="F19" s="6">
        <f>IFERROR(__xludf.DUMMYFUNCTION("""COMPUTED_VALUE"""),5.0)</f>
        <v>5</v>
      </c>
      <c r="G19" s="6">
        <f>IFERROR(__xludf.DUMMYFUNCTION("""COMPUTED_VALUE"""),4.9)</f>
        <v>4.9</v>
      </c>
      <c r="H19" s="6">
        <f>IFERROR(__xludf.DUMMYFUNCTION("""COMPUTED_VALUE"""),5.0)</f>
        <v>5</v>
      </c>
      <c r="I19" s="6">
        <f>IFERROR(__xludf.DUMMYFUNCTION("""COMPUTED_VALUE"""),4.9)</f>
        <v>4.9</v>
      </c>
      <c r="J19" s="6">
        <f>IFERROR(__xludf.DUMMYFUNCTION("""COMPUTED_VALUE"""),3.0)</f>
        <v>3</v>
      </c>
      <c r="K19" s="6">
        <f>IFERROR(__xludf.DUMMYFUNCTION("""COMPUTED_VALUE"""),5.0)</f>
        <v>5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IFERROR(__xludf.DUMMYFUNCTION("""COMPUTED_VALUE"""),5.0)</f>
        <v>5</v>
      </c>
      <c r="P19" s="6">
        <f>IFERROR(__xludf.DUMMYFUNCTION("""COMPUTED_VALUE"""),5.0)</f>
        <v>5</v>
      </c>
      <c r="Q19" s="6"/>
      <c r="R19" s="6"/>
      <c r="S19" s="8">
        <f>IFERROR(__xludf.DUMMYFUNCTION("""COMPUTED_VALUE"""),4.73)</f>
        <v>4.73</v>
      </c>
      <c r="T19" s="12">
        <f>IFERROR(__xludf.DUMMYFUNCTION("""COMPUTED_VALUE"""),1.5766666666666669)</f>
        <v>1.576666667</v>
      </c>
      <c r="U19" s="6"/>
      <c r="V19" s="6"/>
      <c r="W19" s="6">
        <f>IFERROR(__xludf.DUMMYFUNCTION("""COMPUTED_VALUE"""),4.7)</f>
        <v>4.7</v>
      </c>
      <c r="X19" s="6"/>
      <c r="Y19" s="6">
        <f>IFERROR(__xludf.DUMMYFUNCTION("""COMPUTED_VALUE"""),2260367.0)</f>
        <v>2260367</v>
      </c>
      <c r="Z19" s="6"/>
    </row>
    <row r="20">
      <c r="A20" s="6">
        <f>IFERROR(__xludf.DUMMYFUNCTION("""COMPUTED_VALUE"""),19.0)</f>
        <v>19</v>
      </c>
      <c r="B20" s="5" t="str">
        <f>IFERROR(__xludf.DUMMYFUNCTION("""COMPUTED_VALUE"""),"PABON REDONDO SAMUEL ANDRES")</f>
        <v>PABON REDONDO SAMUEL ANDRES</v>
      </c>
      <c r="C20" s="6">
        <f>IFERROR(__xludf.DUMMYFUNCTION("""COMPUTED_VALUE"""),5.0)</f>
        <v>5</v>
      </c>
      <c r="D20" s="6">
        <f>IFERROR(__xludf.DUMMYFUNCTION("""COMPUTED_VALUE"""),3.3)</f>
        <v>3.3</v>
      </c>
      <c r="E20" s="6">
        <f>IFERROR(__xludf.DUMMYFUNCTION("""COMPUTED_VALUE"""),5.0)</f>
        <v>5</v>
      </c>
      <c r="F20" s="6">
        <f>IFERROR(__xludf.DUMMYFUNCTION("""COMPUTED_VALUE"""),3.0)</f>
        <v>3</v>
      </c>
      <c r="G20" s="6">
        <f>IFERROR(__xludf.DUMMYFUNCTION("""COMPUTED_VALUE"""),4.7)</f>
        <v>4.7</v>
      </c>
      <c r="H20" s="6">
        <f>IFERROR(__xludf.DUMMYFUNCTION("""COMPUTED_VALUE"""),5.0)</f>
        <v>5</v>
      </c>
      <c r="I20" s="6">
        <f>IFERROR(__xludf.DUMMYFUNCTION("""COMPUTED_VALUE"""),4.7)</f>
        <v>4.7</v>
      </c>
      <c r="J20" s="6">
        <f>IFERROR(__xludf.DUMMYFUNCTION("""COMPUTED_VALUE"""),5.0)</f>
        <v>5</v>
      </c>
      <c r="K20" s="6">
        <f>IFERROR(__xludf.DUMMYFUNCTION("""COMPUTED_VALUE"""),5.0)</f>
        <v>5</v>
      </c>
      <c r="L20" s="6">
        <f>IFERROR(__xludf.DUMMYFUNCTION("""COMPUTED_VALUE"""),5.0)</f>
        <v>5</v>
      </c>
      <c r="M20" s="6">
        <f>IFERROR(__xludf.DUMMYFUNCTION("""COMPUTED_VALUE"""),0.0)</f>
        <v>0</v>
      </c>
      <c r="N20" s="6">
        <f>IFERROR(__xludf.DUMMYFUNCTION("""COMPUTED_VALUE"""),5.0)</f>
        <v>5</v>
      </c>
      <c r="O20" s="6">
        <f>IFERROR(__xludf.DUMMYFUNCTION("""COMPUTED_VALUE"""),5.0)</f>
        <v>5</v>
      </c>
      <c r="P20" s="6">
        <f>IFERROR(__xludf.DUMMYFUNCTION("""COMPUTED_VALUE"""),5.0)</f>
        <v>5</v>
      </c>
      <c r="Q20" s="6"/>
      <c r="R20" s="6"/>
      <c r="S20" s="8">
        <f>IFERROR(__xludf.DUMMYFUNCTION("""COMPUTED_VALUE"""),4.115)</f>
        <v>4.115</v>
      </c>
      <c r="T20" s="12">
        <f>IFERROR(__xludf.DUMMYFUNCTION("""COMPUTED_VALUE"""),1.3716666666666668)</f>
        <v>1.371666667</v>
      </c>
      <c r="U20" s="6"/>
      <c r="V20" s="6"/>
      <c r="W20" s="6">
        <f>IFERROR(__xludf.DUMMYFUNCTION("""COMPUTED_VALUE"""),4.3)</f>
        <v>4.3</v>
      </c>
      <c r="X20" s="6"/>
      <c r="Y20" s="6">
        <f>IFERROR(__xludf.DUMMYFUNCTION("""COMPUTED_VALUE"""),2260339.0)</f>
        <v>2260339</v>
      </c>
      <c r="Z20" s="6"/>
    </row>
    <row r="21">
      <c r="A21" s="6">
        <f>IFERROR(__xludf.DUMMYFUNCTION("""COMPUTED_VALUE"""),20.0)</f>
        <v>20</v>
      </c>
      <c r="B21" s="5" t="str">
        <f>IFERROR(__xludf.DUMMYFUNCTION("""COMPUTED_VALUE"""),"PEÑA CASTILLO SANTIAGO")</f>
        <v>PEÑA CASTILLO SANTIAGO</v>
      </c>
      <c r="C21" s="6">
        <f>IFERROR(__xludf.DUMMYFUNCTION("""COMPUTED_VALUE"""),4.5)</f>
        <v>4.5</v>
      </c>
      <c r="D21" s="6">
        <f>IFERROR(__xludf.DUMMYFUNCTION("""COMPUTED_VALUE"""),4.7)</f>
        <v>4.7</v>
      </c>
      <c r="E21" s="6">
        <f>IFERROR(__xludf.DUMMYFUNCTION("""COMPUTED_VALUE"""),5.0)</f>
        <v>5</v>
      </c>
      <c r="F21" s="6">
        <f>IFERROR(__xludf.DUMMYFUNCTION("""COMPUTED_VALUE"""),4.0)</f>
        <v>4</v>
      </c>
      <c r="G21" s="6">
        <f>IFERROR(__xludf.DUMMYFUNCTION("""COMPUTED_VALUE"""),4.9)</f>
        <v>4.9</v>
      </c>
      <c r="H21" s="6">
        <f>IFERROR(__xludf.DUMMYFUNCTION("""COMPUTED_VALUE"""),5.0)</f>
        <v>5</v>
      </c>
      <c r="I21" s="6">
        <f>IFERROR(__xludf.DUMMYFUNCTION("""COMPUTED_VALUE"""),4.9)</f>
        <v>4.9</v>
      </c>
      <c r="J21" s="6">
        <f>IFERROR(__xludf.DUMMYFUNCTION("""COMPUTED_VALUE"""),5.0)</f>
        <v>5</v>
      </c>
      <c r="K21" s="6">
        <f>IFERROR(__xludf.DUMMYFUNCTION("""COMPUTED_VALUE"""),4.2)</f>
        <v>4.2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IFERROR(__xludf.DUMMYFUNCTION("""COMPUTED_VALUE"""),4.17)</f>
        <v>4.17</v>
      </c>
      <c r="P21" s="6">
        <f>IFERROR(__xludf.DUMMYFUNCTION("""COMPUTED_VALUE"""),5.0)</f>
        <v>5</v>
      </c>
      <c r="Q21" s="6"/>
      <c r="R21" s="6"/>
      <c r="S21" s="8">
        <f>IFERROR(__xludf.DUMMYFUNCTION("""COMPUTED_VALUE"""),4.630000000000001)</f>
        <v>4.63</v>
      </c>
      <c r="T21" s="12">
        <f>IFERROR(__xludf.DUMMYFUNCTION("""COMPUTED_VALUE"""),1.5433333333333337)</f>
        <v>1.543333333</v>
      </c>
      <c r="U21" s="6"/>
      <c r="V21" s="6"/>
      <c r="W21" s="6">
        <f>IFERROR(__xludf.DUMMYFUNCTION("""COMPUTED_VALUE"""),4.8)</f>
        <v>4.8</v>
      </c>
      <c r="X21" s="6"/>
      <c r="Y21" s="6">
        <f>IFERROR(__xludf.DUMMYFUNCTION("""COMPUTED_VALUE"""),2260348.0)</f>
        <v>2260348</v>
      </c>
      <c r="Z21" s="6"/>
    </row>
    <row r="22">
      <c r="A22" s="6">
        <f>IFERROR(__xludf.DUMMYFUNCTION("""COMPUTED_VALUE"""),21.0)</f>
        <v>21</v>
      </c>
      <c r="B22" s="5" t="str">
        <f>IFERROR(__xludf.DUMMYFUNCTION("""COMPUTED_VALUE"""),"RIVERA PEREZ MIGUEL ANGEL")</f>
        <v>RIVERA PEREZ MIGUEL ANGEL</v>
      </c>
      <c r="C22" s="6">
        <f>IFERROR(__xludf.DUMMYFUNCTION("""COMPUTED_VALUE"""),4.5)</f>
        <v>4.5</v>
      </c>
      <c r="D22" s="6">
        <f>IFERROR(__xludf.DUMMYFUNCTION("""COMPUTED_VALUE"""),3.0)</f>
        <v>3</v>
      </c>
      <c r="E22" s="6">
        <f>IFERROR(__xludf.DUMMYFUNCTION("""COMPUTED_VALUE"""),3.7)</f>
        <v>3.7</v>
      </c>
      <c r="F22" s="6">
        <f>IFERROR(__xludf.DUMMYFUNCTION("""COMPUTED_VALUE"""),3.0)</f>
        <v>3</v>
      </c>
      <c r="G22" s="6">
        <f>IFERROR(__xludf.DUMMYFUNCTION("""COMPUTED_VALUE"""),4.2)</f>
        <v>4.2</v>
      </c>
      <c r="H22" s="6">
        <f>IFERROR(__xludf.DUMMYFUNCTION("""COMPUTED_VALUE"""),5.0)</f>
        <v>5</v>
      </c>
      <c r="I22" s="6">
        <f>IFERROR(__xludf.DUMMYFUNCTION("""COMPUTED_VALUE"""),4.2)</f>
        <v>4.2</v>
      </c>
      <c r="J22" s="6">
        <f>IFERROR(__xludf.DUMMYFUNCTION("""COMPUTED_VALUE"""),5.0)</f>
        <v>5</v>
      </c>
      <c r="K22" s="6">
        <f>IFERROR(__xludf.DUMMYFUNCTION("""COMPUTED_VALUE"""),4.0)</f>
        <v>4</v>
      </c>
      <c r="L22" s="6">
        <f>IFERROR(__xludf.DUMMYFUNCTION("""COMPUTED_VALUE"""),5.0)</f>
        <v>5</v>
      </c>
      <c r="M22" s="6">
        <f>IFERROR(__xludf.DUMMYFUNCTION("""COMPUTED_VALUE"""),0.0)</f>
        <v>0</v>
      </c>
      <c r="N22" s="6">
        <f>IFERROR(__xludf.DUMMYFUNCTION("""COMPUTED_VALUE"""),5.0)</f>
        <v>5</v>
      </c>
      <c r="O22" s="6">
        <f>IFERROR(__xludf.DUMMYFUNCTION("""COMPUTED_VALUE"""),3.85)</f>
        <v>3.85</v>
      </c>
      <c r="P22" s="6">
        <f>IFERROR(__xludf.DUMMYFUNCTION("""COMPUTED_VALUE"""),0.0)</f>
        <v>0</v>
      </c>
      <c r="Q22" s="6"/>
      <c r="R22" s="6"/>
      <c r="S22" s="8">
        <f>IFERROR(__xludf.DUMMYFUNCTION("""COMPUTED_VALUE"""),3.6050000000000004)</f>
        <v>3.605</v>
      </c>
      <c r="T22" s="12">
        <f>IFERROR(__xludf.DUMMYFUNCTION("""COMPUTED_VALUE"""),1.2016666666666669)</f>
        <v>1.201666667</v>
      </c>
      <c r="U22" s="6"/>
      <c r="V22" s="6"/>
      <c r="W22" s="6">
        <f>IFERROR(__xludf.DUMMYFUNCTION("""COMPUTED_VALUE"""),3.3)</f>
        <v>3.3</v>
      </c>
      <c r="X22" s="6"/>
      <c r="Y22" s="6">
        <f>IFERROR(__xludf.DUMMYFUNCTION("""COMPUTED_VALUE"""),2260373.0)</f>
        <v>2260373</v>
      </c>
      <c r="Z22" s="6"/>
    </row>
    <row r="23">
      <c r="A23" s="6">
        <f>IFERROR(__xludf.DUMMYFUNCTION("""COMPUTED_VALUE"""),22.0)</f>
        <v>22</v>
      </c>
      <c r="B23" s="5" t="str">
        <f>IFERROR(__xludf.DUMMYFUNCTION("""COMPUTED_VALUE"""),"RODRIGUEZ BELTRAN DANIEL ESTEBAN")</f>
        <v>RODRIGUEZ BELTRAN DANIEL ESTEBAN</v>
      </c>
      <c r="C23" s="6">
        <f>IFERROR(__xludf.DUMMYFUNCTION("""COMPUTED_VALUE"""),5.0)</f>
        <v>5</v>
      </c>
      <c r="D23" s="6">
        <f>IFERROR(__xludf.DUMMYFUNCTION("""COMPUTED_VALUE"""),4.0)</f>
        <v>4</v>
      </c>
      <c r="E23" s="6">
        <f>IFERROR(__xludf.DUMMYFUNCTION("""COMPUTED_VALUE"""),5.0)</f>
        <v>5</v>
      </c>
      <c r="F23" s="6">
        <f>IFERROR(__xludf.DUMMYFUNCTION("""COMPUTED_VALUE"""),5.0)</f>
        <v>5</v>
      </c>
      <c r="G23" s="6">
        <f>IFERROR(__xludf.DUMMYFUNCTION("""COMPUTED_VALUE"""),4.8)</f>
        <v>4.8</v>
      </c>
      <c r="H23" s="6">
        <f>IFERROR(__xludf.DUMMYFUNCTION("""COMPUTED_VALUE"""),5.0)</f>
        <v>5</v>
      </c>
      <c r="I23" s="6">
        <f>IFERROR(__xludf.DUMMYFUNCTION("""COMPUTED_VALUE"""),4.8)</f>
        <v>4.8</v>
      </c>
      <c r="J23" s="6">
        <f>IFERROR(__xludf.DUMMYFUNCTION("""COMPUTED_VALUE"""),5.0)</f>
        <v>5</v>
      </c>
      <c r="K23" s="6">
        <f>IFERROR(__xludf.DUMMYFUNCTION("""COMPUTED_VALUE"""),4.0)</f>
        <v>4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IFERROR(__xludf.DUMMYFUNCTION("""COMPUTED_VALUE"""),3.33)</f>
        <v>3.33</v>
      </c>
      <c r="P23" s="6">
        <f>IFERROR(__xludf.DUMMYFUNCTION("""COMPUTED_VALUE"""),5.0)</f>
        <v>5</v>
      </c>
      <c r="Q23" s="6"/>
      <c r="R23" s="6"/>
      <c r="S23" s="8">
        <f>IFERROR(__xludf.DUMMYFUNCTION("""COMPUTED_VALUE"""),4.71)</f>
        <v>4.71</v>
      </c>
      <c r="T23" s="12">
        <f>IFERROR(__xludf.DUMMYFUNCTION("""COMPUTED_VALUE"""),1.57)</f>
        <v>1.57</v>
      </c>
      <c r="U23" s="6"/>
      <c r="V23" s="6"/>
      <c r="W23" s="6">
        <f>IFERROR(__xludf.DUMMYFUNCTION("""COMPUTED_VALUE"""),4.6)</f>
        <v>4.6</v>
      </c>
      <c r="X23" s="6"/>
      <c r="Y23" s="6">
        <f>IFERROR(__xludf.DUMMYFUNCTION("""COMPUTED_VALUE"""),2260337.0)</f>
        <v>2260337</v>
      </c>
      <c r="Z23" s="6"/>
    </row>
    <row r="24">
      <c r="A24" s="6">
        <f>IFERROR(__xludf.DUMMYFUNCTION("""COMPUTED_VALUE"""),23.0)</f>
        <v>23</v>
      </c>
      <c r="B24" s="5" t="str">
        <f>IFERROR(__xludf.DUMMYFUNCTION("""COMPUTED_VALUE"""),"RUEDA PEREZ JUAN ESTEBAN")</f>
        <v>RUEDA PEREZ JUAN ESTEBAN</v>
      </c>
      <c r="C24" s="6">
        <f>IFERROR(__xludf.DUMMYFUNCTION("""COMPUTED_VALUE"""),5.0)</f>
        <v>5</v>
      </c>
      <c r="D24" s="6">
        <f>IFERROR(__xludf.DUMMYFUNCTION("""COMPUTED_VALUE"""),5.0)</f>
        <v>5</v>
      </c>
      <c r="E24" s="6">
        <f>IFERROR(__xludf.DUMMYFUNCTION("""COMPUTED_VALUE"""),5.0)</f>
        <v>5</v>
      </c>
      <c r="F24" s="6">
        <f>IFERROR(__xludf.DUMMYFUNCTION("""COMPUTED_VALUE"""),5.0)</f>
        <v>5</v>
      </c>
      <c r="G24" s="6">
        <f>IFERROR(__xludf.DUMMYFUNCTION("""COMPUTED_VALUE"""),4.9)</f>
        <v>4.9</v>
      </c>
      <c r="H24" s="6">
        <f>IFERROR(__xludf.DUMMYFUNCTION("""COMPUTED_VALUE"""),5.0)</f>
        <v>5</v>
      </c>
      <c r="I24" s="6">
        <f>IFERROR(__xludf.DUMMYFUNCTION("""COMPUTED_VALUE"""),4.9)</f>
        <v>4.9</v>
      </c>
      <c r="J24" s="6">
        <f>IFERROR(__xludf.DUMMYFUNCTION("""COMPUTED_VALUE"""),3.5)</f>
        <v>3.5</v>
      </c>
      <c r="K24" s="6">
        <f>IFERROR(__xludf.DUMMYFUNCTION("""COMPUTED_VALUE"""),5.0)</f>
        <v>5</v>
      </c>
      <c r="L24" s="6">
        <f>IFERROR(__xludf.DUMMYFUNCTION("""COMPUTED_VALUE"""),5.0)</f>
        <v>5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IFERROR(__xludf.DUMMYFUNCTION("""COMPUTED_VALUE"""),4.62)</f>
        <v>4.62</v>
      </c>
      <c r="P24" s="6">
        <f>IFERROR(__xludf.DUMMYFUNCTION("""COMPUTED_VALUE"""),5.0)</f>
        <v>5</v>
      </c>
      <c r="Q24" s="6"/>
      <c r="R24" s="6"/>
      <c r="S24" s="8">
        <f>IFERROR(__xludf.DUMMYFUNCTION("""COMPUTED_VALUE"""),4.98)</f>
        <v>4.98</v>
      </c>
      <c r="T24" s="12">
        <f>IFERROR(__xludf.DUMMYFUNCTION("""COMPUTED_VALUE"""),1.6600000000000001)</f>
        <v>1.66</v>
      </c>
      <c r="U24" s="6"/>
      <c r="V24" s="6"/>
      <c r="W24" s="6">
        <f>IFERROR(__xludf.DUMMYFUNCTION("""COMPUTED_VALUE"""),4.7)</f>
        <v>4.7</v>
      </c>
      <c r="X24" s="6"/>
      <c r="Y24" s="6">
        <f>IFERROR(__xludf.DUMMYFUNCTION("""COMPUTED_VALUE"""),2260351.0)</f>
        <v>2260351</v>
      </c>
      <c r="Z24" s="6"/>
    </row>
    <row r="25">
      <c r="A25" s="6">
        <f>IFERROR(__xludf.DUMMYFUNCTION("""COMPUTED_VALUE"""),24.0)</f>
        <v>24</v>
      </c>
      <c r="B25" s="5" t="str">
        <f>IFERROR(__xludf.DUMMYFUNCTION("""COMPUTED_VALUE"""),"SILVA PICO MALVEN DANIEL")</f>
        <v>SILVA PICO MALVEN DANIEL</v>
      </c>
      <c r="C25" s="6">
        <f>IFERROR(__xludf.DUMMYFUNCTION("""COMPUTED_VALUE"""),5.0)</f>
        <v>5</v>
      </c>
      <c r="D25" s="6">
        <f>IFERROR(__xludf.DUMMYFUNCTION("""COMPUTED_VALUE"""),5.0)</f>
        <v>5</v>
      </c>
      <c r="E25" s="6">
        <f>IFERROR(__xludf.DUMMYFUNCTION("""COMPUTED_VALUE"""),5.0)</f>
        <v>5</v>
      </c>
      <c r="F25" s="6">
        <f>IFERROR(__xludf.DUMMYFUNCTION("""COMPUTED_VALUE"""),5.0)</f>
        <v>5</v>
      </c>
      <c r="G25" s="6">
        <f>IFERROR(__xludf.DUMMYFUNCTION("""COMPUTED_VALUE"""),5.0)</f>
        <v>5</v>
      </c>
      <c r="H25" s="6">
        <f>IFERROR(__xludf.DUMMYFUNCTION("""COMPUTED_VALUE"""),5.0)</f>
        <v>5</v>
      </c>
      <c r="I25" s="6">
        <f>IFERROR(__xludf.DUMMYFUNCTION("""COMPUTED_VALUE"""),5.0)</f>
        <v>5</v>
      </c>
      <c r="J25" s="6">
        <f>IFERROR(__xludf.DUMMYFUNCTION("""COMPUTED_VALUE"""),5.0)</f>
        <v>5</v>
      </c>
      <c r="K25" s="6">
        <f>IFERROR(__xludf.DUMMYFUNCTION("""COMPUTED_VALUE"""),5.0)</f>
        <v>5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IFERROR(__xludf.DUMMYFUNCTION("""COMPUTED_VALUE"""),5.0)</f>
        <v>5</v>
      </c>
      <c r="P25" s="6">
        <f>IFERROR(__xludf.DUMMYFUNCTION("""COMPUTED_VALUE"""),5.0)</f>
        <v>5</v>
      </c>
      <c r="Q25" s="6"/>
      <c r="R25" s="6"/>
      <c r="S25" s="8">
        <f>IFERROR(__xludf.DUMMYFUNCTION("""COMPUTED_VALUE"""),5.0)</f>
        <v>5</v>
      </c>
      <c r="T25" s="12">
        <f>IFERROR(__xludf.DUMMYFUNCTION("""COMPUTED_VALUE"""),1.6666666666666667)</f>
        <v>1.666666667</v>
      </c>
      <c r="U25" s="6"/>
      <c r="V25" s="6"/>
      <c r="W25" s="6">
        <f>IFERROR(__xludf.DUMMYFUNCTION("""COMPUTED_VALUE"""),5.0)</f>
        <v>5</v>
      </c>
      <c r="X25" s="6"/>
      <c r="Y25" s="6">
        <f>IFERROR(__xludf.DUMMYFUNCTION("""COMPUTED_VALUE"""),2260349.0)</f>
        <v>2260349</v>
      </c>
      <c r="Z25" s="6"/>
    </row>
    <row r="26">
      <c r="A26" s="6">
        <f>IFERROR(__xludf.DUMMYFUNCTION("""COMPUTED_VALUE"""),25.0)</f>
        <v>25</v>
      </c>
      <c r="B26" s="5" t="str">
        <f>IFERROR(__xludf.DUMMYFUNCTION("""COMPUTED_VALUE"""),"SOCHE BUENO SAMUEL YESID")</f>
        <v>SOCHE BUENO SAMUEL YESID</v>
      </c>
      <c r="C26" s="6">
        <f>IFERROR(__xludf.DUMMYFUNCTION("""COMPUTED_VALUE"""),2.1)</f>
        <v>2.1</v>
      </c>
      <c r="D26" s="6">
        <f>IFERROR(__xludf.DUMMYFUNCTION("""COMPUTED_VALUE"""),3.0)</f>
        <v>3</v>
      </c>
      <c r="E26" s="6">
        <f>IFERROR(__xludf.DUMMYFUNCTION("""COMPUTED_VALUE"""),3.5)</f>
        <v>3.5</v>
      </c>
      <c r="F26" s="6">
        <f>IFERROR(__xludf.DUMMYFUNCTION("""COMPUTED_VALUE"""),2.5)</f>
        <v>2.5</v>
      </c>
      <c r="G26" s="6">
        <f>IFERROR(__xludf.DUMMYFUNCTION("""COMPUTED_VALUE"""),4.7)</f>
        <v>4.7</v>
      </c>
      <c r="H26" s="6">
        <f>IFERROR(__xludf.DUMMYFUNCTION("""COMPUTED_VALUE"""),5.0)</f>
        <v>5</v>
      </c>
      <c r="I26" s="6">
        <f>IFERROR(__xludf.DUMMYFUNCTION("""COMPUTED_VALUE"""),4.7)</f>
        <v>4.7</v>
      </c>
      <c r="J26" s="6">
        <f>IFERROR(__xludf.DUMMYFUNCTION("""COMPUTED_VALUE"""),2.0)</f>
        <v>2</v>
      </c>
      <c r="K26" s="6">
        <f>IFERROR(__xludf.DUMMYFUNCTION("""COMPUTED_VALUE"""),4.6)</f>
        <v>4.6</v>
      </c>
      <c r="L26" s="6">
        <f>IFERROR(__xludf.DUMMYFUNCTION("""COMPUTED_VALUE"""),5.0)</f>
        <v>5</v>
      </c>
      <c r="M26" s="6">
        <f>IFERROR(__xludf.DUMMYFUNCTION("""COMPUTED_VALUE"""),5.0)</f>
        <v>5</v>
      </c>
      <c r="N26" s="6">
        <f>IFERROR(__xludf.DUMMYFUNCTION("""COMPUTED_VALUE"""),5.0)</f>
        <v>5</v>
      </c>
      <c r="O26" s="6">
        <f>IFERROR(__xludf.DUMMYFUNCTION("""COMPUTED_VALUE"""),3.33)</f>
        <v>3.33</v>
      </c>
      <c r="P26" s="6">
        <f>IFERROR(__xludf.DUMMYFUNCTION("""COMPUTED_VALUE"""),5.0)</f>
        <v>5</v>
      </c>
      <c r="Q26" s="6"/>
      <c r="R26" s="6"/>
      <c r="S26" s="8">
        <f>IFERROR(__xludf.DUMMYFUNCTION("""COMPUTED_VALUE"""),3.205)</f>
        <v>3.205</v>
      </c>
      <c r="T26" s="12">
        <f>IFERROR(__xludf.DUMMYFUNCTION("""COMPUTED_VALUE"""),1.0683333333333334)</f>
        <v>1.068333333</v>
      </c>
      <c r="U26" s="6"/>
      <c r="V26" s="6"/>
      <c r="W26" s="6">
        <f>IFERROR(__xludf.DUMMYFUNCTION("""COMPUTED_VALUE"""),4.3)</f>
        <v>4.3</v>
      </c>
      <c r="X26" s="6"/>
      <c r="Y26" s="6">
        <f>IFERROR(__xludf.DUMMYFUNCTION("""COMPUTED_VALUE"""),2260369.0)</f>
        <v>2260369</v>
      </c>
      <c r="Z26" s="6"/>
    </row>
    <row r="27">
      <c r="A27" s="6">
        <f>IFERROR(__xludf.DUMMYFUNCTION("""COMPUTED_VALUE"""),26.0)</f>
        <v>26</v>
      </c>
      <c r="B27" s="5" t="str">
        <f>IFERROR(__xludf.DUMMYFUNCTION("""COMPUTED_VALUE"""),"SUAREZ GOMEZ TOMAS")</f>
        <v>SUAREZ GOMEZ TOMAS</v>
      </c>
      <c r="C27" s="6">
        <f>IFERROR(__xludf.DUMMYFUNCTION("""COMPUTED_VALUE"""),5.0)</f>
        <v>5</v>
      </c>
      <c r="D27" s="6">
        <f>IFERROR(__xludf.DUMMYFUNCTION("""COMPUTED_VALUE"""),5.0)</f>
        <v>5</v>
      </c>
      <c r="E27" s="6">
        <f>IFERROR(__xludf.DUMMYFUNCTION("""COMPUTED_VALUE"""),3.6)</f>
        <v>3.6</v>
      </c>
      <c r="F27" s="6">
        <f>IFERROR(__xludf.DUMMYFUNCTION("""COMPUTED_VALUE"""),4.5)</f>
        <v>4.5</v>
      </c>
      <c r="G27" s="6">
        <f>IFERROR(__xludf.DUMMYFUNCTION("""COMPUTED_VALUE"""),4.5)</f>
        <v>4.5</v>
      </c>
      <c r="H27" s="6">
        <f>IFERROR(__xludf.DUMMYFUNCTION("""COMPUTED_VALUE"""),5.0)</f>
        <v>5</v>
      </c>
      <c r="I27" s="6">
        <f>IFERROR(__xludf.DUMMYFUNCTION("""COMPUTED_VALUE"""),4.5)</f>
        <v>4.5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IFERROR(__xludf.DUMMYFUNCTION("""COMPUTED_VALUE"""),0.0)</f>
        <v>0</v>
      </c>
      <c r="O27" s="6">
        <f>IFERROR(__xludf.DUMMYFUNCTION("""COMPUTED_VALUE"""),5.0)</f>
        <v>5</v>
      </c>
      <c r="P27" s="6">
        <f>IFERROR(__xludf.DUMMYFUNCTION("""COMPUTED_VALUE"""),5.0)</f>
        <v>5</v>
      </c>
      <c r="Q27" s="6"/>
      <c r="R27" s="6"/>
      <c r="S27" s="8">
        <f>IFERROR(__xludf.DUMMYFUNCTION("""COMPUTED_VALUE"""),4.5200000000000005)</f>
        <v>4.52</v>
      </c>
      <c r="T27" s="12">
        <f>IFERROR(__xludf.DUMMYFUNCTION("""COMPUTED_VALUE"""),1.5066666666666668)</f>
        <v>1.506666667</v>
      </c>
      <c r="U27" s="6"/>
      <c r="V27" s="6"/>
      <c r="W27" s="6">
        <f>IFERROR(__xludf.DUMMYFUNCTION("""COMPUTED_VALUE"""),3.9)</f>
        <v>3.9</v>
      </c>
      <c r="X27" s="6"/>
      <c r="Y27" s="6">
        <f>IFERROR(__xludf.DUMMYFUNCTION("""COMPUTED_VALUE"""),2260352.0)</f>
        <v>2260352</v>
      </c>
      <c r="Z27" s="6"/>
    </row>
    <row r="28">
      <c r="A28" s="6">
        <f>IFERROR(__xludf.DUMMYFUNCTION("""COMPUTED_VALUE"""),27.0)</f>
        <v>27</v>
      </c>
      <c r="B28" s="5" t="str">
        <f>IFERROR(__xludf.DUMMYFUNCTION("""COMPUTED_VALUE"""),"VEGA AMADO MARTIN")</f>
        <v>VEGA AMADO MARTIN</v>
      </c>
      <c r="C28" s="6">
        <f>IFERROR(__xludf.DUMMYFUNCTION("""COMPUTED_VALUE"""),5.0)</f>
        <v>5</v>
      </c>
      <c r="D28" s="6">
        <f>IFERROR(__xludf.DUMMYFUNCTION("""COMPUTED_VALUE"""),3.5)</f>
        <v>3.5</v>
      </c>
      <c r="E28" s="6">
        <f>IFERROR(__xludf.DUMMYFUNCTION("""COMPUTED_VALUE"""),5.0)</f>
        <v>5</v>
      </c>
      <c r="F28" s="6">
        <f>IFERROR(__xludf.DUMMYFUNCTION("""COMPUTED_VALUE"""),4.5)</f>
        <v>4.5</v>
      </c>
      <c r="G28" s="6">
        <f>IFERROR(__xludf.DUMMYFUNCTION("""COMPUTED_VALUE"""),4.2)</f>
        <v>4.2</v>
      </c>
      <c r="H28" s="6">
        <f>IFERROR(__xludf.DUMMYFUNCTION("""COMPUTED_VALUE"""),4.0)</f>
        <v>4</v>
      </c>
      <c r="I28" s="6">
        <f>IFERROR(__xludf.DUMMYFUNCTION("""COMPUTED_VALUE"""),4.1)</f>
        <v>4.1</v>
      </c>
      <c r="J28" s="6">
        <f>IFERROR(__xludf.DUMMYFUNCTION("""COMPUTED_VALUE"""),5.0)</f>
        <v>5</v>
      </c>
      <c r="K28" s="6">
        <f>IFERROR(__xludf.DUMMYFUNCTION("""COMPUTED_VALUE"""),4.2)</f>
        <v>4.2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IFERROR(__xludf.DUMMYFUNCTION("""COMPUTED_VALUE"""),0.0)</f>
        <v>0</v>
      </c>
      <c r="P28" s="6">
        <f>IFERROR(__xludf.DUMMYFUNCTION("""COMPUTED_VALUE"""),5.0)</f>
        <v>5</v>
      </c>
      <c r="Q28" s="6"/>
      <c r="R28" s="6"/>
      <c r="S28" s="8">
        <f>IFERROR(__xludf.DUMMYFUNCTION("""COMPUTED_VALUE"""),4.365)</f>
        <v>4.365</v>
      </c>
      <c r="T28" s="12">
        <f>IFERROR(__xludf.DUMMYFUNCTION("""COMPUTED_VALUE"""),1.455)</f>
        <v>1.455</v>
      </c>
      <c r="U28" s="6"/>
      <c r="V28" s="6"/>
      <c r="W28" s="6">
        <f>IFERROR(__xludf.DUMMYFUNCTION("""COMPUTED_VALUE"""),4.2)</f>
        <v>4.2</v>
      </c>
      <c r="X28" s="6"/>
      <c r="Y28" s="6">
        <f>IFERROR(__xludf.DUMMYFUNCTION("""COMPUTED_VALUE"""),2260371.0)</f>
        <v>2260371</v>
      </c>
      <c r="Z28" s="6"/>
    </row>
    <row r="29">
      <c r="A29" s="6">
        <f>IFERROR(__xludf.DUMMYFUNCTION("""COMPUTED_VALUE"""),28.0)</f>
        <v>28</v>
      </c>
      <c r="B29" s="5" t="str">
        <f>IFERROR(__xludf.DUMMYFUNCTION("""COMPUTED_VALUE"""),"VILLACOB FLOREZ ENNA SOFIA")</f>
        <v>VILLACOB FLOREZ ENNA SOFIA</v>
      </c>
      <c r="C29" s="6">
        <f>IFERROR(__xludf.DUMMYFUNCTION("""COMPUTED_VALUE"""),5.0)</f>
        <v>5</v>
      </c>
      <c r="D29" s="6">
        <f>IFERROR(__xludf.DUMMYFUNCTION("""COMPUTED_VALUE"""),5.0)</f>
        <v>5</v>
      </c>
      <c r="E29" s="6">
        <f>IFERROR(__xludf.DUMMYFUNCTION("""COMPUTED_VALUE"""),4.9)</f>
        <v>4.9</v>
      </c>
      <c r="F29" s="6">
        <f>IFERROR(__xludf.DUMMYFUNCTION("""COMPUTED_VALUE"""),4.5)</f>
        <v>4.5</v>
      </c>
      <c r="G29" s="6">
        <f>IFERROR(__xludf.DUMMYFUNCTION("""COMPUTED_VALUE"""),4.7)</f>
        <v>4.7</v>
      </c>
      <c r="H29" s="6">
        <f>IFERROR(__xludf.DUMMYFUNCTION("""COMPUTED_VALUE"""),5.0)</f>
        <v>5</v>
      </c>
      <c r="I29" s="6">
        <f>IFERROR(__xludf.DUMMYFUNCTION("""COMPUTED_VALUE"""),4.7)</f>
        <v>4.7</v>
      </c>
      <c r="J29" s="6">
        <f>IFERROR(__xludf.DUMMYFUNCTION("""COMPUTED_VALUE"""),3.5)</f>
        <v>3.5</v>
      </c>
      <c r="K29" s="6">
        <f>IFERROR(__xludf.DUMMYFUNCTION("""COMPUTED_VALUE"""),4.2)</f>
        <v>4.2</v>
      </c>
      <c r="L29" s="6">
        <f>IFERROR(__xludf.DUMMYFUNCTION("""COMPUTED_VALUE"""),5.0)</f>
        <v>5</v>
      </c>
      <c r="M29" s="6">
        <f>IFERROR(__xludf.DUMMYFUNCTION("""COMPUTED_VALUE"""),5.0)</f>
        <v>5</v>
      </c>
      <c r="N29" s="6">
        <f>IFERROR(__xludf.DUMMYFUNCTION("""COMPUTED_VALUE"""),5.0)</f>
        <v>5</v>
      </c>
      <c r="O29" s="6">
        <f>IFERROR(__xludf.DUMMYFUNCTION("""COMPUTED_VALUE"""),3.33)</f>
        <v>3.33</v>
      </c>
      <c r="P29" s="6">
        <f>IFERROR(__xludf.DUMMYFUNCTION("""COMPUTED_VALUE"""),5.0)</f>
        <v>5</v>
      </c>
      <c r="Q29" s="6"/>
      <c r="R29" s="6"/>
      <c r="S29" s="8">
        <f>IFERROR(__xludf.DUMMYFUNCTION("""COMPUTED_VALUE"""),4.82)</f>
        <v>4.82</v>
      </c>
      <c r="T29" s="12">
        <f>IFERROR(__xludf.DUMMYFUNCTION("""COMPUTED_VALUE"""),1.6066666666666667)</f>
        <v>1.606666667</v>
      </c>
      <c r="U29" s="6"/>
      <c r="V29" s="6"/>
      <c r="W29" s="6">
        <f>IFERROR(__xludf.DUMMYFUNCTION("""COMPUTED_VALUE"""),4.4)</f>
        <v>4.4</v>
      </c>
      <c r="X29" s="6"/>
      <c r="Y29" s="6">
        <f>IFERROR(__xludf.DUMMYFUNCTION("""COMPUTED_VALUE"""),2260359.0)</f>
        <v>2260359</v>
      </c>
      <c r="Z29" s="6"/>
    </row>
  </sheetData>
  <conditionalFormatting sqref="S2:S29">
    <cfRule type="cellIs" dxfId="0" priority="1" operator="greaterThanOrEqual">
      <formula>3</formula>
    </cfRule>
  </conditionalFormatting>
  <conditionalFormatting sqref="S2:S29">
    <cfRule type="cellIs" dxfId="1" priority="2" operator="between">
      <formula>2.8</formula>
      <formula>2.999</formula>
    </cfRule>
  </conditionalFormatting>
  <conditionalFormatting sqref="S2:S29">
    <cfRule type="cellIs" dxfId="2" priority="3" operator="lessThan">
      <formula>2.8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40.25"/>
    <col customWidth="1" min="3" max="7" width="3.88"/>
    <col customWidth="1" min="8" max="8" width="6.25"/>
    <col customWidth="1" min="9" max="9" width="7.13"/>
    <col customWidth="1" min="10" max="17" width="3.88"/>
    <col customWidth="1" min="18" max="18" width="7.13"/>
    <col customWidth="1" min="19" max="19" width="5.88"/>
    <col customWidth="1" min="20" max="20" width="6.88"/>
    <col customWidth="1" min="21" max="21" width="10.88"/>
    <col customWidth="1" min="22" max="22" width="8.5"/>
    <col customWidth="1" min="23" max="23" width="7.75"/>
    <col customWidth="1" min="24" max="24" width="3.88"/>
    <col customWidth="1" min="25" max="25" width="7.75"/>
    <col customWidth="1" min="26" max="26" width="3.88"/>
    <col customWidth="1" min="27" max="27" width="7.13"/>
    <col customWidth="1" min="28" max="37" width="3.88"/>
  </cols>
  <sheetData>
    <row r="1">
      <c r="A1" s="1" t="str">
        <f>IFERROR(__xludf.DUMMYFUNCTION("IMPORTRANGE(""1IBQjOws3WhAXDJftgpUWc3oN7u_5yElNOe9-ViV3LKs"",""CALC1!A1:AA38"")"),"No")</f>
        <v>No</v>
      </c>
      <c r="B1" s="2" t="str">
        <f>IFERROR(__xludf.DUMMYFUNCTION("""COMPUTED_VALUE"""),"ESTUDIANTES -grupo PE9")</f>
        <v>ESTUDIANTES -grupo PE9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1" t="str">
        <f>IFERROR(__xludf.DUMMYFUNCTION("""COMPUTED_VALUE"""),"TUTO")</f>
        <v>TUTO</v>
      </c>
      <c r="I1" s="11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IFERROR(__xludf.DUMMYFUNCTION("""COMPUTED_VALUE"""),"Ta2")</f>
        <v>Ta2</v>
      </c>
      <c r="M1" s="1" t="str">
        <f>IFERROR(__xludf.DUMMYFUNCTION("""COMPUTED_VALUE"""),"Ta3")</f>
        <v>Ta3</v>
      </c>
      <c r="N1" s="1" t="str">
        <f>IFERROR(__xludf.DUMMYFUNCTION("""COMPUTED_VALUE"""),"Q2")</f>
        <v>Q2</v>
      </c>
      <c r="O1" s="1" t="str">
        <f>IFERROR(__xludf.DUMMYFUNCTION("""COMPUTED_VALUE"""),"Ta4")</f>
        <v>Ta4</v>
      </c>
      <c r="P1" s="1" t="str">
        <f>IFERROR(__xludf.DUMMYFUNCTION("""COMPUTED_VALUE"""),"Ta5")</f>
        <v>Ta5</v>
      </c>
      <c r="Q1" s="1" t="str">
        <f>IFERROR(__xludf.DUMMYFUNCTION("""COMPUTED_VALUE"""),"Tr3")</f>
        <v>Tr3</v>
      </c>
      <c r="R1" s="1" t="str">
        <f>IFERROR(__xludf.DUMMYFUNCTION("""COMPUTED_VALUE"""),"Tr4")</f>
        <v>Tr4</v>
      </c>
      <c r="S1" s="1" t="str">
        <f>IFERROR(__xludf.DUMMYFUNCTION("""COMPUTED_VALUE"""),"Tr5")</f>
        <v>Tr5</v>
      </c>
      <c r="T1" s="1" t="str">
        <f>IFERROR(__xludf.DUMMYFUNCTION("""COMPUTED_VALUE"""),"Tr6")</f>
        <v>Tr6</v>
      </c>
      <c r="U1" s="3" t="str">
        <f>IFERROR(__xludf.DUMMYFUNCTION("""COMPUTED_VALUE"""),"FINAL")</f>
        <v>FINAL</v>
      </c>
      <c r="V1" s="1" t="str">
        <f>IFERROR(__xludf.DUMMYFUNCTION("""COMPUTED_VALUE"""),"meta3.0")</f>
        <v>meta3.0</v>
      </c>
      <c r="W1" s="1"/>
      <c r="X1" s="1"/>
      <c r="Y1" s="1" t="str">
        <f>IFERROR(__xludf.DUMMYFUNCTION("""COMPUTED_VALUE"""),"pqt(real)")</f>
        <v>pqt(real)</v>
      </c>
      <c r="Z1" s="6"/>
      <c r="AA1" s="6" t="str">
        <f>IFERROR(__xludf.DUMMYFUNCTION("""COMPUTED_VALUE"""),"COD")</f>
        <v>COD</v>
      </c>
      <c r="AB1" s="6"/>
      <c r="AC1" s="6"/>
      <c r="AD1" s="6"/>
      <c r="AE1" s="6"/>
      <c r="AF1" s="6"/>
      <c r="AG1" s="6"/>
      <c r="AH1" s="6"/>
      <c r="AI1" s="6"/>
      <c r="AJ1" s="6"/>
      <c r="AK1" s="6"/>
    </row>
    <row r="2">
      <c r="A2" s="6">
        <f>IFERROR(__xludf.DUMMYFUNCTION("""COMPUTED_VALUE"""),1.0)</f>
        <v>1</v>
      </c>
      <c r="B2" s="5" t="str">
        <f>IFERROR(__xludf.DUMMYFUNCTION("""COMPUTED_VALUE"""),"APARICIO GONZALEZ STEVEN SANTIAGO")</f>
        <v>APARICIO GONZALEZ STEVEN SANTIAGO</v>
      </c>
      <c r="C2" s="6">
        <f>IFERROR(__xludf.DUMMYFUNCTION("""COMPUTED_VALUE"""),4.1)</f>
        <v>4.1</v>
      </c>
      <c r="D2" s="6">
        <f>IFERROR(__xludf.DUMMYFUNCTION("""COMPUTED_VALUE"""),4.8)</f>
        <v>4.8</v>
      </c>
      <c r="E2" s="6">
        <f>IFERROR(__xludf.DUMMYFUNCTION("""COMPUTED_VALUE"""),3.3)</f>
        <v>3.3</v>
      </c>
      <c r="F2" s="6">
        <f>IFERROR(__xludf.DUMMYFUNCTION("""COMPUTED_VALUE"""),2.2)</f>
        <v>2.2</v>
      </c>
      <c r="G2" s="6">
        <f>IFERROR(__xludf.DUMMYFUNCTION("""COMPUTED_VALUE"""),4.5)</f>
        <v>4.5</v>
      </c>
      <c r="H2" s="6">
        <f>IFERROR(__xludf.DUMMYFUNCTION("""COMPUTED_VALUE"""),4.4)</f>
        <v>4.4</v>
      </c>
      <c r="I2" s="6">
        <f>IFERROR(__xludf.DUMMYFUNCTION("""COMPUTED_VALUE"""),4.4)</f>
        <v>4.4</v>
      </c>
      <c r="J2" s="6">
        <f>IFERROR(__xludf.DUMMYFUNCTION("""COMPUTED_VALUE"""),3.6)</f>
        <v>3.6</v>
      </c>
      <c r="K2" s="6">
        <f>IFERROR(__xludf.DUMMYFUNCTION("""COMPUTED_VALUE"""),4.5)</f>
        <v>4.5</v>
      </c>
      <c r="L2" s="6">
        <f>IFERROR(__xludf.DUMMYFUNCTION("""COMPUTED_VALUE"""),3.5)</f>
        <v>3.5</v>
      </c>
      <c r="M2" s="6">
        <f>IFERROR(__xludf.DUMMYFUNCTION("""COMPUTED_VALUE"""),2.7)</f>
        <v>2.7</v>
      </c>
      <c r="N2" s="6">
        <f>IFERROR(__xludf.DUMMYFUNCTION("""COMPUTED_VALUE"""),3.6)</f>
        <v>3.6</v>
      </c>
      <c r="O2" s="6">
        <f>IFERROR(__xludf.DUMMYFUNCTION("""COMPUTED_VALUE"""),3.63)</f>
        <v>3.63</v>
      </c>
      <c r="P2" s="6">
        <f>IFERROR(__xludf.DUMMYFUNCTION("""COMPUTED_VALUE"""),4.33)</f>
        <v>4.33</v>
      </c>
      <c r="Q2" s="6">
        <f>IFERROR(__xludf.DUMMYFUNCTION("""COMPUTED_VALUE"""),5.0)</f>
        <v>5</v>
      </c>
      <c r="R2" s="6">
        <f>IFERROR(__xludf.DUMMYFUNCTION("""COMPUTED_VALUE"""),5.0)</f>
        <v>5</v>
      </c>
      <c r="S2" s="6">
        <f>IFERROR(__xludf.DUMMYFUNCTION("""COMPUTED_VALUE"""),5.0)</f>
        <v>5</v>
      </c>
      <c r="T2" s="6">
        <f>IFERROR(__xludf.DUMMYFUNCTION("""COMPUTED_VALUE"""),5.0)</f>
        <v>5</v>
      </c>
      <c r="U2" s="8">
        <f>IFERROR(__xludf.DUMMYFUNCTION("""COMPUTED_VALUE"""),3.7199999999999998)</f>
        <v>3.72</v>
      </c>
      <c r="V2" s="12">
        <f>IFERROR(__xludf.DUMMYFUNCTION("""COMPUTED_VALUE"""),1.24)</f>
        <v>1.24</v>
      </c>
      <c r="W2" s="6"/>
      <c r="X2" s="6"/>
      <c r="Y2" s="6">
        <f>IFERROR(__xludf.DUMMYFUNCTION("""COMPUTED_VALUE"""),4.5)</f>
        <v>4.5</v>
      </c>
      <c r="Z2" s="6"/>
      <c r="AA2" s="6">
        <f>IFERROR(__xludf.DUMMYFUNCTION("""COMPUTED_VALUE"""),2261221.0)</f>
        <v>2261221</v>
      </c>
      <c r="AB2" s="6"/>
      <c r="AC2" s="6"/>
      <c r="AD2" s="6"/>
      <c r="AE2" s="6"/>
      <c r="AF2" s="6"/>
      <c r="AG2" s="6"/>
      <c r="AH2" s="6"/>
      <c r="AI2" s="6"/>
      <c r="AJ2" s="6"/>
      <c r="AK2" s="6"/>
    </row>
    <row r="3">
      <c r="A3" s="6">
        <f>IFERROR(__xludf.DUMMYFUNCTION("""COMPUTED_VALUE"""),2.0)</f>
        <v>2</v>
      </c>
      <c r="B3" s="5" t="str">
        <f>IFERROR(__xludf.DUMMYFUNCTION("""COMPUTED_VALUE"""),"ARDILA CAICEDO MICHAEL SEBASTIAN")</f>
        <v>ARDILA CAICEDO MICHAEL SEBASTIAN</v>
      </c>
      <c r="C3" s="6">
        <f>IFERROR(__xludf.DUMMYFUNCTION("""COMPUTED_VALUE"""),3.8)</f>
        <v>3.8</v>
      </c>
      <c r="D3" s="6">
        <f>IFERROR(__xludf.DUMMYFUNCTION("""COMPUTED_VALUE"""),4.5)</f>
        <v>4.5</v>
      </c>
      <c r="E3" s="6">
        <f>IFERROR(__xludf.DUMMYFUNCTION("""COMPUTED_VALUE"""),2.2)</f>
        <v>2.2</v>
      </c>
      <c r="F3" s="6">
        <f>IFERROR(__xludf.DUMMYFUNCTION("""COMPUTED_VALUE"""),3.0)</f>
        <v>3</v>
      </c>
      <c r="G3" s="6">
        <f>IFERROR(__xludf.DUMMYFUNCTION("""COMPUTED_VALUE"""),4.9)</f>
        <v>4.9</v>
      </c>
      <c r="H3" s="6">
        <f>IFERROR(__xludf.DUMMYFUNCTION("""COMPUTED_VALUE"""),3.7)</f>
        <v>3.7</v>
      </c>
      <c r="I3" s="6">
        <f>IFERROR(__xludf.DUMMYFUNCTION("""COMPUTED_VALUE"""),4.3)</f>
        <v>4.3</v>
      </c>
      <c r="J3" s="6">
        <f>IFERROR(__xludf.DUMMYFUNCTION("""COMPUTED_VALUE"""),3.6)</f>
        <v>3.6</v>
      </c>
      <c r="K3" s="6">
        <f>IFERROR(__xludf.DUMMYFUNCTION("""COMPUTED_VALUE"""),4.55)</f>
        <v>4.55</v>
      </c>
      <c r="L3" s="6">
        <f>IFERROR(__xludf.DUMMYFUNCTION("""COMPUTED_VALUE"""),5.0)</f>
        <v>5</v>
      </c>
      <c r="M3" s="6">
        <f>IFERROR(__xludf.DUMMYFUNCTION("""COMPUTED_VALUE"""),4.4)</f>
        <v>4.4</v>
      </c>
      <c r="N3" s="6">
        <f>IFERROR(__xludf.DUMMYFUNCTION("""COMPUTED_VALUE"""),1.0)</f>
        <v>1</v>
      </c>
      <c r="O3" s="6">
        <f>IFERROR(__xludf.DUMMYFUNCTION("""COMPUTED_VALUE"""),4.75)</f>
        <v>4.75</v>
      </c>
      <c r="P3" s="6">
        <f>IFERROR(__xludf.DUMMYFUNCTION("""COMPUTED_VALUE"""),4.67)</f>
        <v>4.67</v>
      </c>
      <c r="Q3" s="6">
        <f>IFERROR(__xludf.DUMMYFUNCTION("""COMPUTED_VALUE"""),5.0)</f>
        <v>5</v>
      </c>
      <c r="R3" s="6">
        <f>IFERROR(__xludf.DUMMYFUNCTION("""COMPUTED_VALUE"""),5.0)</f>
        <v>5</v>
      </c>
      <c r="S3" s="6">
        <f>IFERROR(__xludf.DUMMYFUNCTION("""COMPUTED_VALUE"""),5.0)</f>
        <v>5</v>
      </c>
      <c r="T3" s="6">
        <f>IFERROR(__xludf.DUMMYFUNCTION("""COMPUTED_VALUE"""),5.0)</f>
        <v>5</v>
      </c>
      <c r="U3" s="8">
        <f>IFERROR(__xludf.DUMMYFUNCTION("""COMPUTED_VALUE"""),3.5450000000000004)</f>
        <v>3.545</v>
      </c>
      <c r="V3" s="12">
        <f>IFERROR(__xludf.DUMMYFUNCTION("""COMPUTED_VALUE"""),1.1816666666666669)</f>
        <v>1.181666667</v>
      </c>
      <c r="W3" s="6"/>
      <c r="X3" s="6"/>
      <c r="Y3" s="6">
        <f>IFERROR(__xludf.DUMMYFUNCTION("""COMPUTED_VALUE"""),4.9)</f>
        <v>4.9</v>
      </c>
      <c r="Z3" s="6"/>
      <c r="AA3" s="6">
        <f>IFERROR(__xludf.DUMMYFUNCTION("""COMPUTED_VALUE"""),2261862.0)</f>
        <v>2261862</v>
      </c>
      <c r="AB3" s="6"/>
      <c r="AC3" s="6"/>
      <c r="AD3" s="6"/>
      <c r="AE3" s="6"/>
      <c r="AF3" s="6"/>
      <c r="AG3" s="6"/>
      <c r="AH3" s="6"/>
      <c r="AI3" s="6"/>
      <c r="AJ3" s="6"/>
      <c r="AK3" s="6"/>
    </row>
    <row r="4">
      <c r="A4" s="6">
        <f>IFERROR(__xludf.DUMMYFUNCTION("""COMPUTED_VALUE"""),3.0)</f>
        <v>3</v>
      </c>
      <c r="B4" s="5" t="str">
        <f>IFERROR(__xludf.DUMMYFUNCTION("""COMPUTED_VALUE"""),"ARIAS GALVAN JUAN JOSE")</f>
        <v>ARIAS GALVAN JUAN JOSE</v>
      </c>
      <c r="C4" s="6">
        <f>IFERROR(__xludf.DUMMYFUNCTION("""COMPUTED_VALUE"""),4.8)</f>
        <v>4.8</v>
      </c>
      <c r="D4" s="6">
        <f>IFERROR(__xludf.DUMMYFUNCTION("""COMPUTED_VALUE"""),3.9)</f>
        <v>3.9</v>
      </c>
      <c r="E4" s="6">
        <f>IFERROR(__xludf.DUMMYFUNCTION("""COMPUTED_VALUE"""),2.4)</f>
        <v>2.4</v>
      </c>
      <c r="F4" s="6">
        <f>IFERROR(__xludf.DUMMYFUNCTION("""COMPUTED_VALUE"""),3.3)</f>
        <v>3.3</v>
      </c>
      <c r="G4" s="6">
        <f>IFERROR(__xludf.DUMMYFUNCTION("""COMPUTED_VALUE"""),4.9)</f>
        <v>4.9</v>
      </c>
      <c r="H4" s="6">
        <f>IFERROR(__xludf.DUMMYFUNCTION("""COMPUTED_VALUE"""),5.0)</f>
        <v>5</v>
      </c>
      <c r="I4" s="6">
        <f>IFERROR(__xludf.DUMMYFUNCTION("""COMPUTED_VALUE"""),4.9)</f>
        <v>4.9</v>
      </c>
      <c r="J4" s="6">
        <f>IFERROR(__xludf.DUMMYFUNCTION("""COMPUTED_VALUE"""),5.0)</f>
        <v>5</v>
      </c>
      <c r="K4" s="6">
        <f>IFERROR(__xludf.DUMMYFUNCTION("""COMPUTED_VALUE"""),4.27)</f>
        <v>4.27</v>
      </c>
      <c r="L4" s="6">
        <f>IFERROR(__xludf.DUMMYFUNCTION("""COMPUTED_VALUE"""),0.3)</f>
        <v>0.3</v>
      </c>
      <c r="M4" s="6">
        <f>IFERROR(__xludf.DUMMYFUNCTION("""COMPUTED_VALUE"""),2.4)</f>
        <v>2.4</v>
      </c>
      <c r="N4" s="6">
        <f>IFERROR(__xludf.DUMMYFUNCTION("""COMPUTED_VALUE"""),3.5)</f>
        <v>3.5</v>
      </c>
      <c r="O4" s="6">
        <f>IFERROR(__xludf.DUMMYFUNCTION("""COMPUTED_VALUE"""),4.5)</f>
        <v>4.5</v>
      </c>
      <c r="P4" s="6">
        <f>IFERROR(__xludf.DUMMYFUNCTION("""COMPUTED_VALUE"""),4.31)</f>
        <v>4.31</v>
      </c>
      <c r="Q4" s="6">
        <f>IFERROR(__xludf.DUMMYFUNCTION("""COMPUTED_VALUE"""),5.0)</f>
        <v>5</v>
      </c>
      <c r="R4" s="6">
        <f>IFERROR(__xludf.DUMMYFUNCTION("""COMPUTED_VALUE"""),5.0)</f>
        <v>5</v>
      </c>
      <c r="S4" s="6">
        <f>IFERROR(__xludf.DUMMYFUNCTION("""COMPUTED_VALUE"""),5.0)</f>
        <v>5</v>
      </c>
      <c r="T4" s="6">
        <f>IFERROR(__xludf.DUMMYFUNCTION("""COMPUTED_VALUE"""),5.0)</f>
        <v>5</v>
      </c>
      <c r="U4" s="8">
        <f>IFERROR(__xludf.DUMMYFUNCTION("""COMPUTED_VALUE"""),3.7350000000000003)</f>
        <v>3.735</v>
      </c>
      <c r="V4" s="12">
        <f>IFERROR(__xludf.DUMMYFUNCTION("""COMPUTED_VALUE"""),1.245)</f>
        <v>1.245</v>
      </c>
      <c r="W4" s="6"/>
      <c r="X4" s="6"/>
      <c r="Y4" s="6">
        <f>IFERROR(__xludf.DUMMYFUNCTION("""COMPUTED_VALUE"""),4.8)</f>
        <v>4.8</v>
      </c>
      <c r="Z4" s="6"/>
      <c r="AA4" s="6">
        <f>IFERROR(__xludf.DUMMYFUNCTION("""COMPUTED_VALUE"""),2261933.0)</f>
        <v>2261933</v>
      </c>
      <c r="AB4" s="6"/>
      <c r="AC4" s="6"/>
      <c r="AD4" s="6"/>
      <c r="AE4" s="6"/>
      <c r="AF4" s="6"/>
      <c r="AG4" s="6"/>
      <c r="AH4" s="6"/>
      <c r="AI4" s="6"/>
      <c r="AJ4" s="6"/>
      <c r="AK4" s="6"/>
    </row>
    <row r="5">
      <c r="A5" s="6">
        <f>IFERROR(__xludf.DUMMYFUNCTION("""COMPUTED_VALUE"""),4.0)</f>
        <v>4</v>
      </c>
      <c r="B5" s="5" t="str">
        <f>IFERROR(__xludf.DUMMYFUNCTION("""COMPUTED_VALUE"""),"BARRAGAN BARRERO KAROLL DANIELA")</f>
        <v>BARRAGAN BARRERO KAROLL DANIELA</v>
      </c>
      <c r="C5" s="6">
        <f>IFERROR(__xludf.DUMMYFUNCTION("""COMPUTED_VALUE"""),3.1)</f>
        <v>3.1</v>
      </c>
      <c r="D5" s="6">
        <f>IFERROR(__xludf.DUMMYFUNCTION("""COMPUTED_VALUE"""),1.3)</f>
        <v>1.3</v>
      </c>
      <c r="E5" s="6">
        <f>IFERROR(__xludf.DUMMYFUNCTION("""COMPUTED_VALUE"""),2.8)</f>
        <v>2.8</v>
      </c>
      <c r="F5" s="6">
        <f>IFERROR(__xludf.DUMMYFUNCTION("""COMPUTED_VALUE"""),4.5)</f>
        <v>4.5</v>
      </c>
      <c r="G5" s="6">
        <f>IFERROR(__xludf.DUMMYFUNCTION("""COMPUTED_VALUE"""),4.7)</f>
        <v>4.7</v>
      </c>
      <c r="H5" s="6">
        <f>IFERROR(__xludf.DUMMYFUNCTION("""COMPUTED_VALUE"""),4.8)</f>
        <v>4.8</v>
      </c>
      <c r="I5" s="6">
        <f>IFERROR(__xludf.DUMMYFUNCTION("""COMPUTED_VALUE"""),4.7)</f>
        <v>4.7</v>
      </c>
      <c r="J5" s="6">
        <f>IFERROR(__xludf.DUMMYFUNCTION("""COMPUTED_VALUE"""),3.6)</f>
        <v>3.6</v>
      </c>
      <c r="K5" s="6">
        <f>IFERROR(__xludf.DUMMYFUNCTION("""COMPUTED_VALUE"""),4.4)</f>
        <v>4.4</v>
      </c>
      <c r="L5" s="6">
        <f>IFERROR(__xludf.DUMMYFUNCTION("""COMPUTED_VALUE"""),0.3)</f>
        <v>0.3</v>
      </c>
      <c r="M5" s="6">
        <f>IFERROR(__xludf.DUMMYFUNCTION("""COMPUTED_VALUE"""),3.8)</f>
        <v>3.8</v>
      </c>
      <c r="N5" s="6">
        <f>IFERROR(__xludf.DUMMYFUNCTION("""COMPUTED_VALUE"""),4.8)</f>
        <v>4.8</v>
      </c>
      <c r="O5" s="6">
        <f>IFERROR(__xludf.DUMMYFUNCTION("""COMPUTED_VALUE"""),3.88)</f>
        <v>3.88</v>
      </c>
      <c r="P5" s="6">
        <f>IFERROR(__xludf.DUMMYFUNCTION("""COMPUTED_VALUE"""),1.3)</f>
        <v>1.3</v>
      </c>
      <c r="Q5" s="6">
        <f>IFERROR(__xludf.DUMMYFUNCTION("""COMPUTED_VALUE"""),5.0)</f>
        <v>5</v>
      </c>
      <c r="R5" s="6">
        <f>IFERROR(__xludf.DUMMYFUNCTION("""COMPUTED_VALUE"""),5.0)</f>
        <v>5</v>
      </c>
      <c r="S5" s="6">
        <f>IFERROR(__xludf.DUMMYFUNCTION("""COMPUTED_VALUE"""),5.0)</f>
        <v>5</v>
      </c>
      <c r="T5" s="6">
        <f>IFERROR(__xludf.DUMMYFUNCTION("""COMPUTED_VALUE"""),5.0)</f>
        <v>5</v>
      </c>
      <c r="U5" s="8">
        <f>IFERROR(__xludf.DUMMYFUNCTION("""COMPUTED_VALUE"""),3.1850000000000005)</f>
        <v>3.185</v>
      </c>
      <c r="V5" s="12">
        <f>IFERROR(__xludf.DUMMYFUNCTION("""COMPUTED_VALUE"""),1.0616666666666668)</f>
        <v>1.061666667</v>
      </c>
      <c r="W5" s="6"/>
      <c r="X5" s="6"/>
      <c r="Y5" s="6">
        <f>IFERROR(__xludf.DUMMYFUNCTION("""COMPUTED_VALUE"""),4.6)</f>
        <v>4.6</v>
      </c>
      <c r="Z5" s="6"/>
      <c r="AA5" s="6">
        <f>IFERROR(__xludf.DUMMYFUNCTION("""COMPUTED_VALUE"""),2262154.0)</f>
        <v>2262154</v>
      </c>
      <c r="AB5" s="6"/>
      <c r="AC5" s="6"/>
      <c r="AD5" s="6"/>
      <c r="AE5" s="6"/>
      <c r="AF5" s="6"/>
      <c r="AG5" s="6"/>
      <c r="AH5" s="6"/>
      <c r="AI5" s="6"/>
      <c r="AJ5" s="6"/>
      <c r="AK5" s="6"/>
    </row>
    <row r="6">
      <c r="A6" s="6">
        <f>IFERROR(__xludf.DUMMYFUNCTION("""COMPUTED_VALUE"""),5.0)</f>
        <v>5</v>
      </c>
      <c r="B6" s="5" t="str">
        <f>IFERROR(__xludf.DUMMYFUNCTION("""COMPUTED_VALUE"""),"CADENA ROSERO OSCAR JULIAN")</f>
        <v>CADENA ROSERO OSCAR JULIAN</v>
      </c>
      <c r="C6" s="6">
        <f>IFERROR(__xludf.DUMMYFUNCTION("""COMPUTED_VALUE"""),3.7)</f>
        <v>3.7</v>
      </c>
      <c r="D6" s="6">
        <f>IFERROR(__xludf.DUMMYFUNCTION("""COMPUTED_VALUE"""),0.9)</f>
        <v>0.9</v>
      </c>
      <c r="E6" s="6">
        <f>IFERROR(__xludf.DUMMYFUNCTION("""COMPUTED_VALUE"""),0.0)</f>
        <v>0</v>
      </c>
      <c r="F6" s="6">
        <f>IFERROR(__xludf.DUMMYFUNCTION("""COMPUTED_VALUE"""),0.0)</f>
        <v>0</v>
      </c>
      <c r="G6" s="6">
        <f>IFERROR(__xludf.DUMMYFUNCTION("""COMPUTED_VALUE"""),3.4)</f>
        <v>3.4</v>
      </c>
      <c r="H6" s="6"/>
      <c r="I6" s="6">
        <f>IFERROR(__xludf.DUMMYFUNCTION("""COMPUTED_VALUE"""),1.6)</f>
        <v>1.6</v>
      </c>
      <c r="J6" s="6">
        <f>IFERROR(__xludf.DUMMYFUNCTION("""COMPUTED_VALUE"""),5.0)</f>
        <v>5</v>
      </c>
      <c r="K6" s="6">
        <f>IFERROR(__xludf.DUMMYFUNCTION("""COMPUTED_VALUE"""),4.35)</f>
        <v>4.35</v>
      </c>
      <c r="L6" s="6">
        <f>IFERROR(__xludf.DUMMYFUNCTION("""COMPUTED_VALUE"""),0.0)</f>
        <v>0</v>
      </c>
      <c r="M6" s="6">
        <f>IFERROR(__xludf.DUMMYFUNCTION("""COMPUTED_VALUE"""),0.6)</f>
        <v>0.6</v>
      </c>
      <c r="N6" s="6">
        <f>IFERROR(__xludf.DUMMYFUNCTION("""COMPUTED_VALUE"""),4.6)</f>
        <v>4.6</v>
      </c>
      <c r="O6" s="6">
        <f>IFERROR(__xludf.DUMMYFUNCTION("""COMPUTED_VALUE"""),4.0)</f>
        <v>4</v>
      </c>
      <c r="P6" s="6">
        <f>IFERROR(__xludf.DUMMYFUNCTION("""COMPUTED_VALUE"""),5.0)</f>
        <v>5</v>
      </c>
      <c r="Q6" s="6">
        <f>IFERROR(__xludf.DUMMYFUNCTION("""COMPUTED_VALUE"""),0.0)</f>
        <v>0</v>
      </c>
      <c r="R6" s="6">
        <f>IFERROR(__xludf.DUMMYFUNCTION("""COMPUTED_VALUE"""),0.0)</f>
        <v>0</v>
      </c>
      <c r="S6" s="6">
        <f>IFERROR(__xludf.DUMMYFUNCTION("""COMPUTED_VALUE"""),0.0)</f>
        <v>0</v>
      </c>
      <c r="T6" s="6">
        <f>IFERROR(__xludf.DUMMYFUNCTION("""COMPUTED_VALUE"""),0.0)</f>
        <v>0</v>
      </c>
      <c r="U6" s="8">
        <f>IFERROR(__xludf.DUMMYFUNCTION("""COMPUTED_VALUE"""),1.4300000000000002)</f>
        <v>1.43</v>
      </c>
      <c r="V6" s="12">
        <f>IFERROR(__xludf.DUMMYFUNCTION("""COMPUTED_VALUE"""),0.47666666666666674)</f>
        <v>0.4766666667</v>
      </c>
      <c r="W6" s="6"/>
      <c r="X6" s="6"/>
      <c r="Y6" s="6">
        <f>IFERROR(__xludf.DUMMYFUNCTION("""COMPUTED_VALUE"""),3.4)</f>
        <v>3.4</v>
      </c>
      <c r="Z6" s="6"/>
      <c r="AA6" s="6">
        <f>IFERROR(__xludf.DUMMYFUNCTION("""COMPUTED_VALUE"""),2261830.0)</f>
        <v>2261830</v>
      </c>
      <c r="AB6" s="6"/>
      <c r="AC6" s="6"/>
      <c r="AD6" s="6"/>
      <c r="AE6" s="6"/>
      <c r="AF6" s="6"/>
      <c r="AG6" s="6"/>
      <c r="AH6" s="6"/>
      <c r="AI6" s="6"/>
      <c r="AJ6" s="6"/>
      <c r="AK6" s="6"/>
    </row>
    <row r="7">
      <c r="A7" s="6">
        <f>IFERROR(__xludf.DUMMYFUNCTION("""COMPUTED_VALUE"""),6.0)</f>
        <v>6</v>
      </c>
      <c r="B7" s="5" t="str">
        <f>IFERROR(__xludf.DUMMYFUNCTION("""COMPUTED_VALUE"""),"CAMARGO BONILLA MARIA ALEJANDRA")</f>
        <v>CAMARGO BONILLA MARIA ALEJANDRA</v>
      </c>
      <c r="C7" s="6">
        <f>IFERROR(__xludf.DUMMYFUNCTION("""COMPUTED_VALUE"""),5.0)</f>
        <v>5</v>
      </c>
      <c r="D7" s="6">
        <f>IFERROR(__xludf.DUMMYFUNCTION("""COMPUTED_VALUE"""),3.9)</f>
        <v>3.9</v>
      </c>
      <c r="E7" s="6">
        <f>IFERROR(__xludf.DUMMYFUNCTION("""COMPUTED_VALUE"""),3.2)</f>
        <v>3.2</v>
      </c>
      <c r="F7" s="6">
        <f>IFERROR(__xludf.DUMMYFUNCTION("""COMPUTED_VALUE"""),5.0)</f>
        <v>5</v>
      </c>
      <c r="G7" s="6">
        <f>IFERROR(__xludf.DUMMYFUNCTION("""COMPUTED_VALUE"""),4.8)</f>
        <v>4.8</v>
      </c>
      <c r="H7" s="6">
        <f>IFERROR(__xludf.DUMMYFUNCTION("""COMPUTED_VALUE"""),4.2)</f>
        <v>4.2</v>
      </c>
      <c r="I7" s="6">
        <f>IFERROR(__xludf.DUMMYFUNCTION("""COMPUTED_VALUE"""),4.5)</f>
        <v>4.5</v>
      </c>
      <c r="J7" s="6">
        <f>IFERROR(__xludf.DUMMYFUNCTION("""COMPUTED_VALUE"""),5.0)</f>
        <v>5</v>
      </c>
      <c r="K7" s="6">
        <f>IFERROR(__xludf.DUMMYFUNCTION("""COMPUTED_VALUE"""),0.0)</f>
        <v>0</v>
      </c>
      <c r="L7" s="6">
        <f>IFERROR(__xludf.DUMMYFUNCTION("""COMPUTED_VALUE"""),4.4)</f>
        <v>4.4</v>
      </c>
      <c r="M7" s="6">
        <f>IFERROR(__xludf.DUMMYFUNCTION("""COMPUTED_VALUE"""),3.8)</f>
        <v>3.8</v>
      </c>
      <c r="N7" s="6">
        <f>IFERROR(__xludf.DUMMYFUNCTION("""COMPUTED_VALUE"""),0.0)</f>
        <v>0</v>
      </c>
      <c r="O7" s="6">
        <f>IFERROR(__xludf.DUMMYFUNCTION("""COMPUTED_VALUE"""),4.5)</f>
        <v>4.5</v>
      </c>
      <c r="P7" s="6">
        <f>IFERROR(__xludf.DUMMYFUNCTION("""COMPUTED_VALUE"""),4.33)</f>
        <v>4.33</v>
      </c>
      <c r="Q7" s="6">
        <f>IFERROR(__xludf.DUMMYFUNCTION("""COMPUTED_VALUE"""),5.0)</f>
        <v>5</v>
      </c>
      <c r="R7" s="6">
        <f>IFERROR(__xludf.DUMMYFUNCTION("""COMPUTED_VALUE"""),5.0)</f>
        <v>5</v>
      </c>
      <c r="S7" s="6">
        <f>IFERROR(__xludf.DUMMYFUNCTION("""COMPUTED_VALUE"""),5.0)</f>
        <v>5</v>
      </c>
      <c r="T7" s="6">
        <f>IFERROR(__xludf.DUMMYFUNCTION("""COMPUTED_VALUE"""),5.0)</f>
        <v>5</v>
      </c>
      <c r="U7" s="8">
        <f>IFERROR(__xludf.DUMMYFUNCTION("""COMPUTED_VALUE"""),4.3)</f>
        <v>4.3</v>
      </c>
      <c r="V7" s="12">
        <f>IFERROR(__xludf.DUMMYFUNCTION("""COMPUTED_VALUE"""),1.4333333333333333)</f>
        <v>1.433333333</v>
      </c>
      <c r="W7" s="6"/>
      <c r="X7" s="6"/>
      <c r="Y7" s="6">
        <f>IFERROR(__xludf.DUMMYFUNCTION("""COMPUTED_VALUE"""),4.8)</f>
        <v>4.8</v>
      </c>
      <c r="Z7" s="6"/>
      <c r="AA7" s="6">
        <f>IFERROR(__xludf.DUMMYFUNCTION("""COMPUTED_VALUE"""),2261224.0)</f>
        <v>2261224</v>
      </c>
      <c r="AB7" s="6"/>
      <c r="AC7" s="6"/>
      <c r="AD7" s="6"/>
      <c r="AE7" s="6"/>
      <c r="AF7" s="6"/>
      <c r="AG7" s="6"/>
      <c r="AH7" s="6"/>
      <c r="AI7" s="6"/>
      <c r="AJ7" s="6"/>
      <c r="AK7" s="6"/>
    </row>
    <row r="8">
      <c r="A8" s="6">
        <f>IFERROR(__xludf.DUMMYFUNCTION("""COMPUTED_VALUE"""),7.0)</f>
        <v>7</v>
      </c>
      <c r="B8" s="5" t="str">
        <f>IFERROR(__xludf.DUMMYFUNCTION("""COMPUTED_VALUE"""),"CASTELLANOS HERNANDEZ LEONEL SANTIAGO")</f>
        <v>CASTELLANOS HERNANDEZ LEONEL SANTIAGO</v>
      </c>
      <c r="C8" s="6">
        <f>IFERROR(__xludf.DUMMYFUNCTION("""COMPUTED_VALUE"""),3.8)</f>
        <v>3.8</v>
      </c>
      <c r="D8" s="6">
        <f>IFERROR(__xludf.DUMMYFUNCTION("""COMPUTED_VALUE"""),3.9)</f>
        <v>3.9</v>
      </c>
      <c r="E8" s="6">
        <f>IFERROR(__xludf.DUMMYFUNCTION("""COMPUTED_VALUE"""),3.2)</f>
        <v>3.2</v>
      </c>
      <c r="F8" s="6">
        <f>IFERROR(__xludf.DUMMYFUNCTION("""COMPUTED_VALUE"""),2.8)</f>
        <v>2.8</v>
      </c>
      <c r="G8" s="6">
        <f>IFERROR(__xludf.DUMMYFUNCTION("""COMPUTED_VALUE"""),4.8)</f>
        <v>4.8</v>
      </c>
      <c r="H8" s="6">
        <f>IFERROR(__xludf.DUMMYFUNCTION("""COMPUTED_VALUE"""),4.5)</f>
        <v>4.5</v>
      </c>
      <c r="I8" s="6">
        <f>IFERROR(__xludf.DUMMYFUNCTION("""COMPUTED_VALUE"""),4.6)</f>
        <v>4.6</v>
      </c>
      <c r="J8" s="6">
        <f>IFERROR(__xludf.DUMMYFUNCTION("""COMPUTED_VALUE"""),2.0)</f>
        <v>2</v>
      </c>
      <c r="K8" s="6">
        <f>IFERROR(__xludf.DUMMYFUNCTION("""COMPUTED_VALUE"""),4.35)</f>
        <v>4.35</v>
      </c>
      <c r="L8" s="6">
        <f>IFERROR(__xludf.DUMMYFUNCTION("""COMPUTED_VALUE"""),4.1)</f>
        <v>4.1</v>
      </c>
      <c r="M8" s="6">
        <f>IFERROR(__xludf.DUMMYFUNCTION("""COMPUTED_VALUE"""),4.1)</f>
        <v>4.1</v>
      </c>
      <c r="N8" s="6">
        <f>IFERROR(__xludf.DUMMYFUNCTION("""COMPUTED_VALUE"""),4.6)</f>
        <v>4.6</v>
      </c>
      <c r="O8" s="6">
        <f>IFERROR(__xludf.DUMMYFUNCTION("""COMPUTED_VALUE"""),4.25)</f>
        <v>4.25</v>
      </c>
      <c r="P8" s="6">
        <f>IFERROR(__xludf.DUMMYFUNCTION("""COMPUTED_VALUE"""),5.0)</f>
        <v>5</v>
      </c>
      <c r="Q8" s="6">
        <f>IFERROR(__xludf.DUMMYFUNCTION("""COMPUTED_VALUE"""),5.0)</f>
        <v>5</v>
      </c>
      <c r="R8" s="6">
        <f>IFERROR(__xludf.DUMMYFUNCTION("""COMPUTED_VALUE"""),5.0)</f>
        <v>5</v>
      </c>
      <c r="S8" s="6">
        <f>IFERROR(__xludf.DUMMYFUNCTION("""COMPUTED_VALUE"""),5.0)</f>
        <v>5</v>
      </c>
      <c r="T8" s="6">
        <f>IFERROR(__xludf.DUMMYFUNCTION("""COMPUTED_VALUE"""),5.0)</f>
        <v>5</v>
      </c>
      <c r="U8" s="8">
        <f>IFERROR(__xludf.DUMMYFUNCTION("""COMPUTED_VALUE"""),3.62)</f>
        <v>3.62</v>
      </c>
      <c r="V8" s="12">
        <f>IFERROR(__xludf.DUMMYFUNCTION("""COMPUTED_VALUE"""),1.2066666666666668)</f>
        <v>1.206666667</v>
      </c>
      <c r="W8" s="6"/>
      <c r="X8" s="6"/>
      <c r="Y8" s="6">
        <f>IFERROR(__xludf.DUMMYFUNCTION("""COMPUTED_VALUE"""),4.8)</f>
        <v>4.8</v>
      </c>
      <c r="Z8" s="6"/>
      <c r="AA8" s="6">
        <f>IFERROR(__xludf.DUMMYFUNCTION("""COMPUTED_VALUE"""),2262001.0)</f>
        <v>2262001</v>
      </c>
      <c r="AB8" s="6"/>
      <c r="AC8" s="6"/>
      <c r="AD8" s="6"/>
      <c r="AE8" s="6"/>
      <c r="AF8" s="6"/>
      <c r="AG8" s="6"/>
      <c r="AH8" s="6"/>
      <c r="AI8" s="6"/>
      <c r="AJ8" s="6"/>
      <c r="AK8" s="6"/>
    </row>
    <row r="9">
      <c r="A9" s="6">
        <f>IFERROR(__xludf.DUMMYFUNCTION("""COMPUTED_VALUE"""),8.0)</f>
        <v>8</v>
      </c>
      <c r="B9" s="5" t="str">
        <f>IFERROR(__xludf.DUMMYFUNCTION("""COMPUTED_VALUE"""),"CHACON SORACA ANTONY")</f>
        <v>CHACON SORACA ANTONY</v>
      </c>
      <c r="C9" s="6">
        <f>IFERROR(__xludf.DUMMYFUNCTION("""COMPUTED_VALUE"""),2.5)</f>
        <v>2.5</v>
      </c>
      <c r="D9" s="6">
        <f>IFERROR(__xludf.DUMMYFUNCTION("""COMPUTED_VALUE"""),3.8)</f>
        <v>3.8</v>
      </c>
      <c r="E9" s="6">
        <f>IFERROR(__xludf.DUMMYFUNCTION("""COMPUTED_VALUE"""),1.9)</f>
        <v>1.9</v>
      </c>
      <c r="F9" s="6">
        <f>IFERROR(__xludf.DUMMYFUNCTION("""COMPUTED_VALUE"""),3.5)</f>
        <v>3.5</v>
      </c>
      <c r="G9" s="6">
        <f>IFERROR(__xludf.DUMMYFUNCTION("""COMPUTED_VALUE"""),4.7)</f>
        <v>4.7</v>
      </c>
      <c r="H9" s="6">
        <f>IFERROR(__xludf.DUMMYFUNCTION("""COMPUTED_VALUE"""),4.7)</f>
        <v>4.7</v>
      </c>
      <c r="I9" s="6">
        <f>IFERROR(__xludf.DUMMYFUNCTION("""COMPUTED_VALUE"""),4.7)</f>
        <v>4.7</v>
      </c>
      <c r="J9" s="6">
        <f>IFERROR(__xludf.DUMMYFUNCTION("""COMPUTED_VALUE"""),3.6)</f>
        <v>3.6</v>
      </c>
      <c r="K9" s="6">
        <f>IFERROR(__xludf.DUMMYFUNCTION("""COMPUTED_VALUE"""),4.8)</f>
        <v>4.8</v>
      </c>
      <c r="L9" s="6">
        <f>IFERROR(__xludf.DUMMYFUNCTION("""COMPUTED_VALUE"""),4.7)</f>
        <v>4.7</v>
      </c>
      <c r="M9" s="6">
        <f>IFERROR(__xludf.DUMMYFUNCTION("""COMPUTED_VALUE"""),0.0)</f>
        <v>0</v>
      </c>
      <c r="N9" s="6">
        <f>IFERROR(__xludf.DUMMYFUNCTION("""COMPUTED_VALUE"""),3.0)</f>
        <v>3</v>
      </c>
      <c r="O9" s="6">
        <f>IFERROR(__xludf.DUMMYFUNCTION("""COMPUTED_VALUE"""),3.5)</f>
        <v>3.5</v>
      </c>
      <c r="P9" s="6">
        <f>IFERROR(__xludf.DUMMYFUNCTION("""COMPUTED_VALUE"""),4.66)</f>
        <v>4.66</v>
      </c>
      <c r="Q9" s="6">
        <f>IFERROR(__xludf.DUMMYFUNCTION("""COMPUTED_VALUE"""),5.0)</f>
        <v>5</v>
      </c>
      <c r="R9" s="6">
        <f>IFERROR(__xludf.DUMMYFUNCTION("""COMPUTED_VALUE"""),5.0)</f>
        <v>5</v>
      </c>
      <c r="S9" s="6">
        <f>IFERROR(__xludf.DUMMYFUNCTION("""COMPUTED_VALUE"""),5.0)</f>
        <v>5</v>
      </c>
      <c r="T9" s="6">
        <f>IFERROR(__xludf.DUMMYFUNCTION("""COMPUTED_VALUE"""),5.0)</f>
        <v>5</v>
      </c>
      <c r="U9" s="8">
        <f>IFERROR(__xludf.DUMMYFUNCTION("""COMPUTED_VALUE"""),3.14)</f>
        <v>3.14</v>
      </c>
      <c r="V9" s="12">
        <f>IFERROR(__xludf.DUMMYFUNCTION("""COMPUTED_VALUE"""),1.0466666666666666)</f>
        <v>1.046666667</v>
      </c>
      <c r="W9" s="6"/>
      <c r="X9" s="6"/>
      <c r="Y9" s="6">
        <f>IFERROR(__xludf.DUMMYFUNCTION("""COMPUTED_VALUE"""),4.7)</f>
        <v>4.7</v>
      </c>
      <c r="Z9" s="6"/>
      <c r="AA9" s="6">
        <f>IFERROR(__xludf.DUMMYFUNCTION("""COMPUTED_VALUE"""),2261874.0)</f>
        <v>2261874</v>
      </c>
      <c r="AB9" s="6"/>
      <c r="AC9" s="6"/>
      <c r="AD9" s="6"/>
      <c r="AE9" s="6"/>
      <c r="AF9" s="6"/>
      <c r="AG9" s="6"/>
      <c r="AH9" s="6"/>
      <c r="AI9" s="6"/>
      <c r="AJ9" s="6"/>
      <c r="AK9" s="6"/>
    </row>
    <row r="10">
      <c r="A10" s="6">
        <f>IFERROR(__xludf.DUMMYFUNCTION("""COMPUTED_VALUE"""),9.0)</f>
        <v>9</v>
      </c>
      <c r="B10" s="5" t="str">
        <f>IFERROR(__xludf.DUMMYFUNCTION("""COMPUTED_VALUE"""),"FLOREZ DELGADO CESAR OSWALDO")</f>
        <v>FLOREZ DELGADO CESAR OSWALDO</v>
      </c>
      <c r="C10" s="6">
        <f>IFERROR(__xludf.DUMMYFUNCTION("""COMPUTED_VALUE"""),5.0)</f>
        <v>5</v>
      </c>
      <c r="D10" s="6">
        <f>IFERROR(__xludf.DUMMYFUNCTION("""COMPUTED_VALUE"""),4.5)</f>
        <v>4.5</v>
      </c>
      <c r="E10" s="6">
        <f>IFERROR(__xludf.DUMMYFUNCTION("""COMPUTED_VALUE"""),3.2)</f>
        <v>3.2</v>
      </c>
      <c r="F10" s="6">
        <f>IFERROR(__xludf.DUMMYFUNCTION("""COMPUTED_VALUE"""),4.5)</f>
        <v>4.5</v>
      </c>
      <c r="G10" s="6">
        <f>IFERROR(__xludf.DUMMYFUNCTION("""COMPUTED_VALUE"""),5.0)</f>
        <v>5</v>
      </c>
      <c r="H10" s="6">
        <f>IFERROR(__xludf.DUMMYFUNCTION("""COMPUTED_VALUE"""),5.0)</f>
        <v>5</v>
      </c>
      <c r="I10" s="6">
        <f>IFERROR(__xludf.DUMMYFUNCTION("""COMPUTED_VALUE"""),5.0)</f>
        <v>5</v>
      </c>
      <c r="J10" s="6">
        <f>IFERROR(__xludf.DUMMYFUNCTION("""COMPUTED_VALUE"""),5.0)</f>
        <v>5</v>
      </c>
      <c r="K10" s="6">
        <f>IFERROR(__xludf.DUMMYFUNCTION("""COMPUTED_VALUE"""),4.7)</f>
        <v>4.7</v>
      </c>
      <c r="L10" s="6">
        <f>IFERROR(__xludf.DUMMYFUNCTION("""COMPUTED_VALUE"""),5.0)</f>
        <v>5</v>
      </c>
      <c r="M10" s="6">
        <f>IFERROR(__xludf.DUMMYFUNCTION("""COMPUTED_VALUE"""),4.4)</f>
        <v>4.4</v>
      </c>
      <c r="N10" s="6">
        <f>IFERROR(__xludf.DUMMYFUNCTION("""COMPUTED_VALUE"""),4.5)</f>
        <v>4.5</v>
      </c>
      <c r="O10" s="6">
        <f>IFERROR(__xludf.DUMMYFUNCTION("""COMPUTED_VALUE"""),5.0)</f>
        <v>5</v>
      </c>
      <c r="P10" s="6">
        <f>IFERROR(__xludf.DUMMYFUNCTION("""COMPUTED_VALUE"""),4.67)</f>
        <v>4.67</v>
      </c>
      <c r="Q10" s="6">
        <f>IFERROR(__xludf.DUMMYFUNCTION("""COMPUTED_VALUE"""),5.0)</f>
        <v>5</v>
      </c>
      <c r="R10" s="6">
        <f>IFERROR(__xludf.DUMMYFUNCTION("""COMPUTED_VALUE"""),5.0)</f>
        <v>5</v>
      </c>
      <c r="S10" s="6">
        <f>IFERROR(__xludf.DUMMYFUNCTION("""COMPUTED_VALUE"""),5.0)</f>
        <v>5</v>
      </c>
      <c r="T10" s="6">
        <f>IFERROR(__xludf.DUMMYFUNCTION("""COMPUTED_VALUE"""),5.0)</f>
        <v>5</v>
      </c>
      <c r="U10" s="8">
        <f>IFERROR(__xludf.DUMMYFUNCTION("""COMPUTED_VALUE"""),4.3500000000000005)</f>
        <v>4.35</v>
      </c>
      <c r="V10" s="12">
        <f>IFERROR(__xludf.DUMMYFUNCTION("""COMPUTED_VALUE"""),1.4500000000000002)</f>
        <v>1.45</v>
      </c>
      <c r="W10" s="6"/>
      <c r="X10" s="6"/>
      <c r="Y10" s="6">
        <f>IFERROR(__xludf.DUMMYFUNCTION("""COMPUTED_VALUE"""),5.0)</f>
        <v>5</v>
      </c>
      <c r="Z10" s="6"/>
      <c r="AA10" s="6">
        <f>IFERROR(__xludf.DUMMYFUNCTION("""COMPUTED_VALUE"""),2261914.0)</f>
        <v>2261914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</row>
    <row r="11">
      <c r="A11" s="6">
        <f>IFERROR(__xludf.DUMMYFUNCTION("""COMPUTED_VALUE"""),10.0)</f>
        <v>10</v>
      </c>
      <c r="B11" s="5" t="str">
        <f>IFERROR(__xludf.DUMMYFUNCTION("""COMPUTED_VALUE"""),"GARCES RUIZ RULBER SANTIAGO")</f>
        <v>GARCES RUIZ RULBER SANTIAGO</v>
      </c>
      <c r="C11" s="6">
        <f>IFERROR(__xludf.DUMMYFUNCTION("""COMPUTED_VALUE"""),2.8)</f>
        <v>2.8</v>
      </c>
      <c r="D11" s="6">
        <f>IFERROR(__xludf.DUMMYFUNCTION("""COMPUTED_VALUE"""),3.9)</f>
        <v>3.9</v>
      </c>
      <c r="E11" s="6">
        <f>IFERROR(__xludf.DUMMYFUNCTION("""COMPUTED_VALUE"""),2.5)</f>
        <v>2.5</v>
      </c>
      <c r="F11" s="6">
        <f>IFERROR(__xludf.DUMMYFUNCTION("""COMPUTED_VALUE"""),2.5)</f>
        <v>2.5</v>
      </c>
      <c r="G11" s="6">
        <f>IFERROR(__xludf.DUMMYFUNCTION("""COMPUTED_VALUE"""),4.9)</f>
        <v>4.9</v>
      </c>
      <c r="H11" s="6">
        <f>IFERROR(__xludf.DUMMYFUNCTION("""COMPUTED_VALUE"""),5.0)</f>
        <v>5</v>
      </c>
      <c r="I11" s="6">
        <f>IFERROR(__xludf.DUMMYFUNCTION("""COMPUTED_VALUE"""),4.9)</f>
        <v>4.9</v>
      </c>
      <c r="J11" s="6">
        <f>IFERROR(__xludf.DUMMYFUNCTION("""COMPUTED_VALUE"""),3.6)</f>
        <v>3.6</v>
      </c>
      <c r="K11" s="6">
        <f>IFERROR(__xludf.DUMMYFUNCTION("""COMPUTED_VALUE"""),4.75)</f>
        <v>4.75</v>
      </c>
      <c r="L11" s="6">
        <f>IFERROR(__xludf.DUMMYFUNCTION("""COMPUTED_VALUE"""),4.4)</f>
        <v>4.4</v>
      </c>
      <c r="M11" s="6">
        <f>IFERROR(__xludf.DUMMYFUNCTION("""COMPUTED_VALUE"""),3.8)</f>
        <v>3.8</v>
      </c>
      <c r="N11" s="6">
        <f>IFERROR(__xludf.DUMMYFUNCTION("""COMPUTED_VALUE"""),4.6)</f>
        <v>4.6</v>
      </c>
      <c r="O11" s="6">
        <f>IFERROR(__xludf.DUMMYFUNCTION("""COMPUTED_VALUE"""),3.63)</f>
        <v>3.63</v>
      </c>
      <c r="P11" s="6">
        <f>IFERROR(__xludf.DUMMYFUNCTION("""COMPUTED_VALUE"""),5.0)</f>
        <v>5</v>
      </c>
      <c r="Q11" s="6">
        <f>IFERROR(__xludf.DUMMYFUNCTION("""COMPUTED_VALUE"""),5.0)</f>
        <v>5</v>
      </c>
      <c r="R11" s="6">
        <f>IFERROR(__xludf.DUMMYFUNCTION("""COMPUTED_VALUE"""),5.0)</f>
        <v>5</v>
      </c>
      <c r="S11" s="6">
        <f>IFERROR(__xludf.DUMMYFUNCTION("""COMPUTED_VALUE"""),5.0)</f>
        <v>5</v>
      </c>
      <c r="T11" s="6">
        <f>IFERROR(__xludf.DUMMYFUNCTION("""COMPUTED_VALUE"""),5.0)</f>
        <v>5</v>
      </c>
      <c r="U11" s="8">
        <f>IFERROR(__xludf.DUMMYFUNCTION("""COMPUTED_VALUE"""),3.1999999999999997)</f>
        <v>3.2</v>
      </c>
      <c r="V11" s="12">
        <f>IFERROR(__xludf.DUMMYFUNCTION("""COMPUTED_VALUE"""),1.0666666666666667)</f>
        <v>1.066666667</v>
      </c>
      <c r="W11" s="6"/>
      <c r="X11" s="6"/>
      <c r="Y11" s="6">
        <f>IFERROR(__xludf.DUMMYFUNCTION("""COMPUTED_VALUE"""),4.8)</f>
        <v>4.8</v>
      </c>
      <c r="Z11" s="6"/>
      <c r="AA11" s="6">
        <f>IFERROR(__xludf.DUMMYFUNCTION("""COMPUTED_VALUE"""),2262150.0)</f>
        <v>2262150</v>
      </c>
      <c r="AB11" s="6"/>
      <c r="AC11" s="6"/>
      <c r="AD11" s="6"/>
      <c r="AE11" s="6"/>
      <c r="AF11" s="6"/>
      <c r="AG11" s="6"/>
      <c r="AH11" s="6"/>
      <c r="AI11" s="6"/>
      <c r="AJ11" s="6"/>
      <c r="AK11" s="6"/>
    </row>
    <row r="12">
      <c r="A12" s="6">
        <f>IFERROR(__xludf.DUMMYFUNCTION("""COMPUTED_VALUE"""),11.0)</f>
        <v>11</v>
      </c>
      <c r="B12" s="5" t="str">
        <f>IFERROR(__xludf.DUMMYFUNCTION("""COMPUTED_VALUE"""),"GARCIA PARADA DANIEL FELIPE")</f>
        <v>GARCIA PARADA DANIEL FELIPE</v>
      </c>
      <c r="C12" s="6">
        <f>IFERROR(__xludf.DUMMYFUNCTION("""COMPUTED_VALUE"""),4.1)</f>
        <v>4.1</v>
      </c>
      <c r="D12" s="6">
        <f>IFERROR(__xludf.DUMMYFUNCTION("""COMPUTED_VALUE"""),5.0)</f>
        <v>5</v>
      </c>
      <c r="E12" s="6">
        <f>IFERROR(__xludf.DUMMYFUNCTION("""COMPUTED_VALUE"""),1.7)</f>
        <v>1.7</v>
      </c>
      <c r="F12" s="6">
        <f>IFERROR(__xludf.DUMMYFUNCTION("""COMPUTED_VALUE"""),3.5)</f>
        <v>3.5</v>
      </c>
      <c r="G12" s="6">
        <f>IFERROR(__xludf.DUMMYFUNCTION("""COMPUTED_VALUE"""),4.8)</f>
        <v>4.8</v>
      </c>
      <c r="H12" s="6">
        <f>IFERROR(__xludf.DUMMYFUNCTION("""COMPUTED_VALUE"""),3.3)</f>
        <v>3.3</v>
      </c>
      <c r="I12" s="6">
        <f>IFERROR(__xludf.DUMMYFUNCTION("""COMPUTED_VALUE"""),4.0)</f>
        <v>4</v>
      </c>
      <c r="J12" s="6">
        <f>IFERROR(__xludf.DUMMYFUNCTION("""COMPUTED_VALUE"""),3.6)</f>
        <v>3.6</v>
      </c>
      <c r="K12" s="6">
        <f>IFERROR(__xludf.DUMMYFUNCTION("""COMPUTED_VALUE"""),4.3)</f>
        <v>4.3</v>
      </c>
      <c r="L12" s="6">
        <f>IFERROR(__xludf.DUMMYFUNCTION("""COMPUTED_VALUE"""),4.7)</f>
        <v>4.7</v>
      </c>
      <c r="M12" s="6">
        <f>IFERROR(__xludf.DUMMYFUNCTION("""COMPUTED_VALUE"""),4.7)</f>
        <v>4.7</v>
      </c>
      <c r="N12" s="6">
        <f>IFERROR(__xludf.DUMMYFUNCTION("""COMPUTED_VALUE"""),4.5)</f>
        <v>4.5</v>
      </c>
      <c r="O12" s="6">
        <f>IFERROR(__xludf.DUMMYFUNCTION("""COMPUTED_VALUE"""),4.75)</f>
        <v>4.75</v>
      </c>
      <c r="P12" s="6">
        <f>IFERROR(__xludf.DUMMYFUNCTION("""COMPUTED_VALUE"""),4.65)</f>
        <v>4.65</v>
      </c>
      <c r="Q12" s="6">
        <f>IFERROR(__xludf.DUMMYFUNCTION("""COMPUTED_VALUE"""),4.0)</f>
        <v>4</v>
      </c>
      <c r="R12" s="6">
        <f>IFERROR(__xludf.DUMMYFUNCTION("""COMPUTED_VALUE"""),5.0)</f>
        <v>5</v>
      </c>
      <c r="S12" s="6">
        <f>IFERROR(__xludf.DUMMYFUNCTION("""COMPUTED_VALUE"""),5.0)</f>
        <v>5</v>
      </c>
      <c r="T12" s="6">
        <f>IFERROR(__xludf.DUMMYFUNCTION("""COMPUTED_VALUE"""),5.0)</f>
        <v>5</v>
      </c>
      <c r="U12" s="8">
        <f>IFERROR(__xludf.DUMMYFUNCTION("""COMPUTED_VALUE"""),3.665)</f>
        <v>3.665</v>
      </c>
      <c r="V12" s="12">
        <f>IFERROR(__xludf.DUMMYFUNCTION("""COMPUTED_VALUE"""),1.2216666666666667)</f>
        <v>1.221666667</v>
      </c>
      <c r="W12" s="6"/>
      <c r="X12" s="6"/>
      <c r="Y12" s="6">
        <f>IFERROR(__xludf.DUMMYFUNCTION("""COMPUTED_VALUE"""),4.8)</f>
        <v>4.8</v>
      </c>
      <c r="Z12" s="6"/>
      <c r="AA12" s="6">
        <f>IFERROR(__xludf.DUMMYFUNCTION("""COMPUTED_VALUE"""),2260424.0)</f>
        <v>2260424</v>
      </c>
      <c r="AB12" s="6"/>
      <c r="AC12" s="6"/>
      <c r="AD12" s="6"/>
      <c r="AE12" s="6"/>
      <c r="AF12" s="6"/>
      <c r="AG12" s="6"/>
      <c r="AH12" s="6"/>
      <c r="AI12" s="6"/>
      <c r="AJ12" s="6"/>
      <c r="AK12" s="6"/>
    </row>
    <row r="13">
      <c r="A13" s="6">
        <f>IFERROR(__xludf.DUMMYFUNCTION("""COMPUTED_VALUE"""),12.0)</f>
        <v>12</v>
      </c>
      <c r="B13" s="5" t="str">
        <f>IFERROR(__xludf.DUMMYFUNCTION("""COMPUTED_VALUE"""),"GARCIA PATIÑO JUAN FELIPE")</f>
        <v>GARCIA PATIÑO JUAN FELIPE</v>
      </c>
      <c r="C13" s="6">
        <f>IFERROR(__xludf.DUMMYFUNCTION("""COMPUTED_VALUE"""),4.9)</f>
        <v>4.9</v>
      </c>
      <c r="D13" s="6">
        <f>IFERROR(__xludf.DUMMYFUNCTION("""COMPUTED_VALUE"""),4.4)</f>
        <v>4.4</v>
      </c>
      <c r="E13" s="6">
        <f>IFERROR(__xludf.DUMMYFUNCTION("""COMPUTED_VALUE"""),2.8)</f>
        <v>2.8</v>
      </c>
      <c r="F13" s="6">
        <f>IFERROR(__xludf.DUMMYFUNCTION("""COMPUTED_VALUE"""),5.0)</f>
        <v>5</v>
      </c>
      <c r="G13" s="6">
        <f>IFERROR(__xludf.DUMMYFUNCTION("""COMPUTED_VALUE"""),5.0)</f>
        <v>5</v>
      </c>
      <c r="H13" s="6">
        <f>IFERROR(__xludf.DUMMYFUNCTION("""COMPUTED_VALUE"""),5.0)</f>
        <v>5</v>
      </c>
      <c r="I13" s="6">
        <f>IFERROR(__xludf.DUMMYFUNCTION("""COMPUTED_VALUE"""),5.0)</f>
        <v>5</v>
      </c>
      <c r="J13" s="6">
        <f>IFERROR(__xludf.DUMMYFUNCTION("""COMPUTED_VALUE"""),5.0)</f>
        <v>5</v>
      </c>
      <c r="K13" s="6">
        <f>IFERROR(__xludf.DUMMYFUNCTION("""COMPUTED_VALUE"""),4.4)</f>
        <v>4.4</v>
      </c>
      <c r="L13" s="6">
        <f>IFERROR(__xludf.DUMMYFUNCTION("""COMPUTED_VALUE"""),5.0)</f>
        <v>5</v>
      </c>
      <c r="M13" s="6">
        <f>IFERROR(__xludf.DUMMYFUNCTION("""COMPUTED_VALUE"""),0.0)</f>
        <v>0</v>
      </c>
      <c r="N13" s="6">
        <f>IFERROR(__xludf.DUMMYFUNCTION("""COMPUTED_VALUE"""),4.8)</f>
        <v>4.8</v>
      </c>
      <c r="O13" s="6">
        <f>IFERROR(__xludf.DUMMYFUNCTION("""COMPUTED_VALUE"""),5.0)</f>
        <v>5</v>
      </c>
      <c r="P13" s="6">
        <f>IFERROR(__xludf.DUMMYFUNCTION("""COMPUTED_VALUE"""),4.34)</f>
        <v>4.34</v>
      </c>
      <c r="Q13" s="6">
        <f>IFERROR(__xludf.DUMMYFUNCTION("""COMPUTED_VALUE"""),5.0)</f>
        <v>5</v>
      </c>
      <c r="R13" s="6">
        <f>IFERROR(__xludf.DUMMYFUNCTION("""COMPUTED_VALUE"""),5.0)</f>
        <v>5</v>
      </c>
      <c r="S13" s="6">
        <f>IFERROR(__xludf.DUMMYFUNCTION("""COMPUTED_VALUE"""),5.0)</f>
        <v>5</v>
      </c>
      <c r="T13" s="6">
        <f>IFERROR(__xludf.DUMMYFUNCTION("""COMPUTED_VALUE"""),5.0)</f>
        <v>5</v>
      </c>
      <c r="U13" s="8">
        <f>IFERROR(__xludf.DUMMYFUNCTION("""COMPUTED_VALUE"""),4.3100000000000005)</f>
        <v>4.31</v>
      </c>
      <c r="V13" s="12">
        <f>IFERROR(__xludf.DUMMYFUNCTION("""COMPUTED_VALUE"""),1.4366666666666668)</f>
        <v>1.436666667</v>
      </c>
      <c r="W13" s="6"/>
      <c r="X13" s="6"/>
      <c r="Y13" s="6">
        <f>IFERROR(__xludf.DUMMYFUNCTION("""COMPUTED_VALUE"""),5.0)</f>
        <v>5</v>
      </c>
      <c r="Z13" s="6"/>
      <c r="AA13" s="6">
        <f>IFERROR(__xludf.DUMMYFUNCTION("""COMPUTED_VALUE"""),2262136.0)</f>
        <v>2262136</v>
      </c>
      <c r="AB13" s="6"/>
      <c r="AC13" s="6"/>
      <c r="AD13" s="6"/>
      <c r="AE13" s="6"/>
      <c r="AF13" s="6"/>
      <c r="AG13" s="6"/>
      <c r="AH13" s="6"/>
      <c r="AI13" s="6"/>
      <c r="AJ13" s="6"/>
      <c r="AK13" s="6"/>
    </row>
    <row r="14">
      <c r="A14" s="6">
        <f>IFERROR(__xludf.DUMMYFUNCTION("""COMPUTED_VALUE"""),13.0)</f>
        <v>13</v>
      </c>
      <c r="B14" s="5" t="str">
        <f>IFERROR(__xludf.DUMMYFUNCTION("""COMPUTED_VALUE"""),"GOMEZ GONZALEZ LUIS ALEJANDRO")</f>
        <v>GOMEZ GONZALEZ LUIS ALEJANDRO</v>
      </c>
      <c r="C14" s="6">
        <f>IFERROR(__xludf.DUMMYFUNCTION("""COMPUTED_VALUE"""),2.7)</f>
        <v>2.7</v>
      </c>
      <c r="D14" s="6">
        <f>IFERROR(__xludf.DUMMYFUNCTION("""COMPUTED_VALUE"""),3.7)</f>
        <v>3.7</v>
      </c>
      <c r="E14" s="6">
        <f>IFERROR(__xludf.DUMMYFUNCTION("""COMPUTED_VALUE"""),1.3)</f>
        <v>1.3</v>
      </c>
      <c r="F14" s="6">
        <f>IFERROR(__xludf.DUMMYFUNCTION("""COMPUTED_VALUE"""),5.0)</f>
        <v>5</v>
      </c>
      <c r="G14" s="6">
        <f>IFERROR(__xludf.DUMMYFUNCTION("""COMPUTED_VALUE"""),4.0)</f>
        <v>4</v>
      </c>
      <c r="H14" s="6">
        <f>IFERROR(__xludf.DUMMYFUNCTION("""COMPUTED_VALUE"""),4.0)</f>
        <v>4</v>
      </c>
      <c r="I14" s="6">
        <f>IFERROR(__xludf.DUMMYFUNCTION("""COMPUTED_VALUE"""),4.0)</f>
        <v>4</v>
      </c>
      <c r="J14" s="6">
        <f>IFERROR(__xludf.DUMMYFUNCTION("""COMPUTED_VALUE"""),3.6)</f>
        <v>3.6</v>
      </c>
      <c r="K14" s="6">
        <f>IFERROR(__xludf.DUMMYFUNCTION("""COMPUTED_VALUE"""),0.0)</f>
        <v>0</v>
      </c>
      <c r="L14" s="6">
        <f>IFERROR(__xludf.DUMMYFUNCTION("""COMPUTED_VALUE"""),0.0)</f>
        <v>0</v>
      </c>
      <c r="M14" s="6">
        <f>IFERROR(__xludf.DUMMYFUNCTION("""COMPUTED_VALUE"""),0.0)</f>
        <v>0</v>
      </c>
      <c r="N14" s="6">
        <f>IFERROR(__xludf.DUMMYFUNCTION("""COMPUTED_VALUE"""),4.6)</f>
        <v>4.6</v>
      </c>
      <c r="O14" s="6">
        <f>IFERROR(__xludf.DUMMYFUNCTION("""COMPUTED_VALUE"""),4.5)</f>
        <v>4.5</v>
      </c>
      <c r="P14" s="6">
        <f>IFERROR(__xludf.DUMMYFUNCTION("""COMPUTED_VALUE"""),4.67)</f>
        <v>4.67</v>
      </c>
      <c r="Q14" s="6">
        <f>IFERROR(__xludf.DUMMYFUNCTION("""COMPUTED_VALUE"""),0.0)</f>
        <v>0</v>
      </c>
      <c r="R14" s="6">
        <f>IFERROR(__xludf.DUMMYFUNCTION("""COMPUTED_VALUE"""),5.0)</f>
        <v>5</v>
      </c>
      <c r="S14" s="6">
        <f>IFERROR(__xludf.DUMMYFUNCTION("""COMPUTED_VALUE"""),5.0)</f>
        <v>5</v>
      </c>
      <c r="T14" s="6">
        <f>IFERROR(__xludf.DUMMYFUNCTION("""COMPUTED_VALUE"""),5.0)</f>
        <v>5</v>
      </c>
      <c r="U14" s="8">
        <f>IFERROR(__xludf.DUMMYFUNCTION("""COMPUTED_VALUE"""),3.2050000000000005)</f>
        <v>3.205</v>
      </c>
      <c r="V14" s="12">
        <f>IFERROR(__xludf.DUMMYFUNCTION("""COMPUTED_VALUE"""),1.0683333333333336)</f>
        <v>1.068333333</v>
      </c>
      <c r="W14" s="6"/>
      <c r="X14" s="6"/>
      <c r="Y14" s="6">
        <f>IFERROR(__xludf.DUMMYFUNCTION("""COMPUTED_VALUE"""),4.0)</f>
        <v>4</v>
      </c>
      <c r="Z14" s="6"/>
      <c r="AA14" s="6">
        <f>IFERROR(__xludf.DUMMYFUNCTION("""COMPUTED_VALUE"""),2261756.0)</f>
        <v>2261756</v>
      </c>
      <c r="AB14" s="6"/>
      <c r="AC14" s="6"/>
      <c r="AD14" s="6"/>
      <c r="AE14" s="6"/>
      <c r="AF14" s="6"/>
      <c r="AG14" s="6"/>
      <c r="AH14" s="6"/>
      <c r="AI14" s="6"/>
      <c r="AJ14" s="6"/>
      <c r="AK14" s="6"/>
    </row>
    <row r="15">
      <c r="A15" s="6">
        <f>IFERROR(__xludf.DUMMYFUNCTION("""COMPUTED_VALUE"""),14.0)</f>
        <v>14</v>
      </c>
      <c r="B15" s="5" t="str">
        <f>IFERROR(__xludf.DUMMYFUNCTION("""COMPUTED_VALUE"""),"GUTIERREZ MARQUEZ JHOSET STEWAR")</f>
        <v>GUTIERREZ MARQUEZ JHOSET STEWAR</v>
      </c>
      <c r="C15" s="6"/>
      <c r="D15" s="6">
        <f>IFERROR(__xludf.DUMMYFUNCTION("""COMPUTED_VALUE"""),0.0)</f>
        <v>0</v>
      </c>
      <c r="E15" s="6"/>
      <c r="F15" s="6"/>
      <c r="G15" s="6"/>
      <c r="H15" s="6"/>
      <c r="I15" s="6"/>
      <c r="J15" s="6">
        <f>IFERROR(__xludf.DUMMYFUNCTION("""COMPUTED_VALUE"""),5.0)</f>
        <v>5</v>
      </c>
      <c r="K15" s="6">
        <f>IFERROR(__xludf.DUMMYFUNCTION("""COMPUTED_VALUE"""),0.0)</f>
        <v>0</v>
      </c>
      <c r="L15" s="6">
        <f>IFERROR(__xludf.DUMMYFUNCTION("""COMPUTED_VALUE"""),0.0)</f>
        <v>0</v>
      </c>
      <c r="M15" s="6">
        <f>IFERROR(__xludf.DUMMYFUNCTION("""COMPUTED_VALUE"""),0.0)</f>
        <v>0</v>
      </c>
      <c r="N15" s="6"/>
      <c r="O15" s="6">
        <f>IFERROR(__xludf.DUMMYFUNCTION("""COMPUTED_VALUE"""),0.0)</f>
        <v>0</v>
      </c>
      <c r="P15" s="6">
        <f>IFERROR(__xludf.DUMMYFUNCTION("""COMPUTED_VALUE"""),0.0)</f>
        <v>0</v>
      </c>
      <c r="Q15" s="6"/>
      <c r="R15" s="6"/>
      <c r="S15" s="6"/>
      <c r="T15" s="6"/>
      <c r="U15" s="8">
        <f>IFERROR(__xludf.DUMMYFUNCTION("""COMPUTED_VALUE"""),0.0)</f>
        <v>0</v>
      </c>
      <c r="V15" s="12">
        <f>IFERROR(__xludf.DUMMYFUNCTION("""COMPUTED_VALUE"""),0.0)</f>
        <v>0</v>
      </c>
      <c r="W15" s="6"/>
      <c r="X15" s="6"/>
      <c r="Y15" s="6"/>
      <c r="Z15" s="6"/>
      <c r="AA15" s="6">
        <f>IFERROR(__xludf.DUMMYFUNCTION("""COMPUTED_VALUE"""),2261849.0)</f>
        <v>2261849</v>
      </c>
      <c r="AB15" s="6"/>
      <c r="AC15" s="6"/>
      <c r="AD15" s="6"/>
      <c r="AE15" s="6"/>
      <c r="AF15" s="6"/>
      <c r="AG15" s="6"/>
      <c r="AH15" s="6"/>
      <c r="AI15" s="6"/>
      <c r="AJ15" s="6"/>
      <c r="AK15" s="6"/>
    </row>
    <row r="16">
      <c r="A16" s="6">
        <f>IFERROR(__xludf.DUMMYFUNCTION("""COMPUTED_VALUE"""),15.0)</f>
        <v>15</v>
      </c>
      <c r="B16" s="5" t="str">
        <f>IFERROR(__xludf.DUMMYFUNCTION("""COMPUTED_VALUE"""),"JAIMES CONTRERAS DANIEL ESTEBAN")</f>
        <v>JAIMES CONTRERAS DANIEL ESTEBAN</v>
      </c>
      <c r="C16" s="6">
        <f>IFERROR(__xludf.DUMMYFUNCTION("""COMPUTED_VALUE"""),3.9)</f>
        <v>3.9</v>
      </c>
      <c r="D16" s="6">
        <f>IFERROR(__xludf.DUMMYFUNCTION("""COMPUTED_VALUE"""),1.4)</f>
        <v>1.4</v>
      </c>
      <c r="E16" s="6">
        <f>IFERROR(__xludf.DUMMYFUNCTION("""COMPUTED_VALUE"""),2.9)</f>
        <v>2.9</v>
      </c>
      <c r="F16" s="6">
        <f>IFERROR(__xludf.DUMMYFUNCTION("""COMPUTED_VALUE"""),2.5)</f>
        <v>2.5</v>
      </c>
      <c r="G16" s="6">
        <f>IFERROR(__xludf.DUMMYFUNCTION("""COMPUTED_VALUE"""),4.8)</f>
        <v>4.8</v>
      </c>
      <c r="H16" s="6">
        <f>IFERROR(__xludf.DUMMYFUNCTION("""COMPUTED_VALUE"""),4.1)</f>
        <v>4.1</v>
      </c>
      <c r="I16" s="6">
        <f>IFERROR(__xludf.DUMMYFUNCTION("""COMPUTED_VALUE"""),4.4)</f>
        <v>4.4</v>
      </c>
      <c r="J16" s="6">
        <f>IFERROR(__xludf.DUMMYFUNCTION("""COMPUTED_VALUE"""),2.0)</f>
        <v>2</v>
      </c>
      <c r="K16" s="6">
        <f>IFERROR(__xludf.DUMMYFUNCTION("""COMPUTED_VALUE"""),4.25)</f>
        <v>4.25</v>
      </c>
      <c r="L16" s="6">
        <f>IFERROR(__xludf.DUMMYFUNCTION("""COMPUTED_VALUE"""),4.7)</f>
        <v>4.7</v>
      </c>
      <c r="M16" s="6">
        <f>IFERROR(__xludf.DUMMYFUNCTION("""COMPUTED_VALUE"""),0.0)</f>
        <v>0</v>
      </c>
      <c r="N16" s="6">
        <f>IFERROR(__xludf.DUMMYFUNCTION("""COMPUTED_VALUE"""),1.5)</f>
        <v>1.5</v>
      </c>
      <c r="O16" s="6">
        <f>IFERROR(__xludf.DUMMYFUNCTION("""COMPUTED_VALUE"""),4.38)</f>
        <v>4.38</v>
      </c>
      <c r="P16" s="6">
        <f>IFERROR(__xludf.DUMMYFUNCTION("""COMPUTED_VALUE"""),5.0)</f>
        <v>5</v>
      </c>
      <c r="Q16" s="6">
        <f>IFERROR(__xludf.DUMMYFUNCTION("""COMPUTED_VALUE"""),5.0)</f>
        <v>5</v>
      </c>
      <c r="R16" s="6">
        <f>IFERROR(__xludf.DUMMYFUNCTION("""COMPUTED_VALUE"""),5.0)</f>
        <v>5</v>
      </c>
      <c r="S16" s="6">
        <f>IFERROR(__xludf.DUMMYFUNCTION("""COMPUTED_VALUE"""),5.0)</f>
        <v>5</v>
      </c>
      <c r="T16" s="6">
        <f>IFERROR(__xludf.DUMMYFUNCTION("""COMPUTED_VALUE"""),5.0)</f>
        <v>5</v>
      </c>
      <c r="U16" s="8">
        <f>IFERROR(__xludf.DUMMYFUNCTION("""COMPUTED_VALUE"""),3.005)</f>
        <v>3.005</v>
      </c>
      <c r="V16" s="12">
        <f>IFERROR(__xludf.DUMMYFUNCTION("""COMPUTED_VALUE"""),1.0016666666666667)</f>
        <v>1.001666667</v>
      </c>
      <c r="W16" s="6"/>
      <c r="X16" s="6"/>
      <c r="Y16" s="6">
        <f>IFERROR(__xludf.DUMMYFUNCTION("""COMPUTED_VALUE"""),4.8)</f>
        <v>4.8</v>
      </c>
      <c r="Z16" s="6"/>
      <c r="AA16" s="6">
        <f>IFERROR(__xludf.DUMMYFUNCTION("""COMPUTED_VALUE"""),2262090.0)</f>
        <v>2262090</v>
      </c>
      <c r="AB16" s="6"/>
      <c r="AC16" s="6"/>
      <c r="AD16" s="6"/>
      <c r="AE16" s="6"/>
      <c r="AF16" s="6"/>
      <c r="AG16" s="6"/>
      <c r="AH16" s="6"/>
      <c r="AI16" s="6"/>
      <c r="AJ16" s="6"/>
      <c r="AK16" s="6"/>
    </row>
    <row r="17">
      <c r="A17" s="6">
        <f>IFERROR(__xludf.DUMMYFUNCTION("""COMPUTED_VALUE"""),16.0)</f>
        <v>16</v>
      </c>
      <c r="B17" s="5" t="str">
        <f>IFERROR(__xludf.DUMMYFUNCTION("""COMPUTED_VALUE"""),"LARA TRISTANCHO NICOLAS DAVID")</f>
        <v>LARA TRISTANCHO NICOLAS DAVID</v>
      </c>
      <c r="C17" s="6">
        <f>IFERROR(__xludf.DUMMYFUNCTION("""COMPUTED_VALUE"""),1.8)</f>
        <v>1.8</v>
      </c>
      <c r="D17" s="6">
        <f>IFERROR(__xludf.DUMMYFUNCTION("""COMPUTED_VALUE"""),4.2)</f>
        <v>4.2</v>
      </c>
      <c r="E17" s="6">
        <f>IFERROR(__xludf.DUMMYFUNCTION("""COMPUTED_VALUE"""),2.8)</f>
        <v>2.8</v>
      </c>
      <c r="F17" s="6">
        <f>IFERROR(__xludf.DUMMYFUNCTION("""COMPUTED_VALUE"""),3.5)</f>
        <v>3.5</v>
      </c>
      <c r="G17" s="6">
        <f>IFERROR(__xludf.DUMMYFUNCTION("""COMPUTED_VALUE"""),4.8)</f>
        <v>4.8</v>
      </c>
      <c r="H17" s="6">
        <f>IFERROR(__xludf.DUMMYFUNCTION("""COMPUTED_VALUE"""),3.9)</f>
        <v>3.9</v>
      </c>
      <c r="I17" s="6">
        <f>IFERROR(__xludf.DUMMYFUNCTION("""COMPUTED_VALUE"""),4.3)</f>
        <v>4.3</v>
      </c>
      <c r="J17" s="6">
        <f>IFERROR(__xludf.DUMMYFUNCTION("""COMPUTED_VALUE"""),3.6)</f>
        <v>3.6</v>
      </c>
      <c r="K17" s="6">
        <f>IFERROR(__xludf.DUMMYFUNCTION("""COMPUTED_VALUE"""),4.8)</f>
        <v>4.8</v>
      </c>
      <c r="L17" s="6">
        <f>IFERROR(__xludf.DUMMYFUNCTION("""COMPUTED_VALUE"""),4.7)</f>
        <v>4.7</v>
      </c>
      <c r="M17" s="6">
        <f>IFERROR(__xludf.DUMMYFUNCTION("""COMPUTED_VALUE"""),0.0)</f>
        <v>0</v>
      </c>
      <c r="N17" s="6">
        <f>IFERROR(__xludf.DUMMYFUNCTION("""COMPUTED_VALUE"""),1.0)</f>
        <v>1</v>
      </c>
      <c r="O17" s="6">
        <f>IFERROR(__xludf.DUMMYFUNCTION("""COMPUTED_VALUE"""),3.25)</f>
        <v>3.25</v>
      </c>
      <c r="P17" s="6">
        <f>IFERROR(__xludf.DUMMYFUNCTION("""COMPUTED_VALUE"""),5.0)</f>
        <v>5</v>
      </c>
      <c r="Q17" s="6">
        <f>IFERROR(__xludf.DUMMYFUNCTION("""COMPUTED_VALUE"""),5.0)</f>
        <v>5</v>
      </c>
      <c r="R17" s="6">
        <f>IFERROR(__xludf.DUMMYFUNCTION("""COMPUTED_VALUE"""),5.0)</f>
        <v>5</v>
      </c>
      <c r="S17" s="6">
        <f>IFERROR(__xludf.DUMMYFUNCTION("""COMPUTED_VALUE"""),5.0)</f>
        <v>5</v>
      </c>
      <c r="T17" s="6">
        <f>IFERROR(__xludf.DUMMYFUNCTION("""COMPUTED_VALUE"""),5.0)</f>
        <v>5</v>
      </c>
      <c r="U17" s="8">
        <f>IFERROR(__xludf.DUMMYFUNCTION("""COMPUTED_VALUE"""),3.3200000000000003)</f>
        <v>3.32</v>
      </c>
      <c r="V17" s="12">
        <f>IFERROR(__xludf.DUMMYFUNCTION("""COMPUTED_VALUE"""),1.1066666666666667)</f>
        <v>1.106666667</v>
      </c>
      <c r="W17" s="6"/>
      <c r="X17" s="6"/>
      <c r="Y17" s="6">
        <f>IFERROR(__xludf.DUMMYFUNCTION("""COMPUTED_VALUE"""),4.8)</f>
        <v>4.8</v>
      </c>
      <c r="Z17" s="6"/>
      <c r="AA17" s="6">
        <f>IFERROR(__xludf.DUMMYFUNCTION("""COMPUTED_VALUE"""),2262094.0)</f>
        <v>2262094</v>
      </c>
      <c r="AB17" s="6"/>
      <c r="AC17" s="6"/>
      <c r="AD17" s="6"/>
      <c r="AE17" s="6"/>
      <c r="AF17" s="6"/>
      <c r="AG17" s="6"/>
      <c r="AH17" s="6"/>
      <c r="AI17" s="6"/>
      <c r="AJ17" s="6"/>
      <c r="AK17" s="6"/>
    </row>
    <row r="18">
      <c r="A18" s="6">
        <f>IFERROR(__xludf.DUMMYFUNCTION("""COMPUTED_VALUE"""),17.0)</f>
        <v>17</v>
      </c>
      <c r="B18" s="5" t="str">
        <f>IFERROR(__xludf.DUMMYFUNCTION("""COMPUTED_VALUE"""),"LOPEZ BLANCO YEISER SANTIAGO")</f>
        <v>LOPEZ BLANCO YEISER SANTIAGO</v>
      </c>
      <c r="C18" s="6">
        <f>IFERROR(__xludf.DUMMYFUNCTION("""COMPUTED_VALUE"""),2.6)</f>
        <v>2.6</v>
      </c>
      <c r="D18" s="6">
        <f>IFERROR(__xludf.DUMMYFUNCTION("""COMPUTED_VALUE"""),1.5)</f>
        <v>1.5</v>
      </c>
      <c r="E18" s="6">
        <f>IFERROR(__xludf.DUMMYFUNCTION("""COMPUTED_VALUE"""),2.5)</f>
        <v>2.5</v>
      </c>
      <c r="F18" s="6">
        <f>IFERROR(__xludf.DUMMYFUNCTION("""COMPUTED_VALUE"""),1.5)</f>
        <v>1.5</v>
      </c>
      <c r="G18" s="6">
        <f>IFERROR(__xludf.DUMMYFUNCTION("""COMPUTED_VALUE"""),1.9)</f>
        <v>1.9</v>
      </c>
      <c r="H18" s="6">
        <f>IFERROR(__xludf.DUMMYFUNCTION("""COMPUTED_VALUE"""),1.3)</f>
        <v>1.3</v>
      </c>
      <c r="I18" s="6">
        <f>IFERROR(__xludf.DUMMYFUNCTION("""COMPUTED_VALUE"""),1.6)</f>
        <v>1.6</v>
      </c>
      <c r="J18" s="6">
        <f>IFERROR(__xludf.DUMMYFUNCTION("""COMPUTED_VALUE"""),3.6)</f>
        <v>3.6</v>
      </c>
      <c r="K18" s="6">
        <f>IFERROR(__xludf.DUMMYFUNCTION("""COMPUTED_VALUE"""),0.0)</f>
        <v>0</v>
      </c>
      <c r="L18" s="6">
        <f>IFERROR(__xludf.DUMMYFUNCTION("""COMPUTED_VALUE"""),0.0)</f>
        <v>0</v>
      </c>
      <c r="M18" s="6">
        <f>IFERROR(__xludf.DUMMYFUNCTION("""COMPUTED_VALUE"""),0.0)</f>
        <v>0</v>
      </c>
      <c r="N18" s="6">
        <f>IFERROR(__xludf.DUMMYFUNCTION("""COMPUTED_VALUE"""),1.8)</f>
        <v>1.8</v>
      </c>
      <c r="O18" s="6">
        <f>IFERROR(__xludf.DUMMYFUNCTION("""COMPUTED_VALUE"""),0.0)</f>
        <v>0</v>
      </c>
      <c r="P18" s="6">
        <f>IFERROR(__xludf.DUMMYFUNCTION("""COMPUTED_VALUE"""),0.0)</f>
        <v>0</v>
      </c>
      <c r="Q18" s="6">
        <f>IFERROR(__xludf.DUMMYFUNCTION("""COMPUTED_VALUE"""),5.0)</f>
        <v>5</v>
      </c>
      <c r="R18" s="6">
        <f>IFERROR(__xludf.DUMMYFUNCTION("""COMPUTED_VALUE"""),5.0)</f>
        <v>5</v>
      </c>
      <c r="S18" s="6">
        <f>IFERROR(__xludf.DUMMYFUNCTION("""COMPUTED_VALUE"""),0.0)</f>
        <v>0</v>
      </c>
      <c r="T18" s="6">
        <f>IFERROR(__xludf.DUMMYFUNCTION("""COMPUTED_VALUE"""),0.0)</f>
        <v>0</v>
      </c>
      <c r="U18" s="8">
        <f>IFERROR(__xludf.DUMMYFUNCTION("""COMPUTED_VALUE"""),2.03)</f>
        <v>2.03</v>
      </c>
      <c r="V18" s="12">
        <f>IFERROR(__xludf.DUMMYFUNCTION("""COMPUTED_VALUE"""),0.6766666666666666)</f>
        <v>0.6766666667</v>
      </c>
      <c r="W18" s="6"/>
      <c r="X18" s="6"/>
      <c r="Y18" s="6">
        <f>IFERROR(__xludf.DUMMYFUNCTION("""COMPUTED_VALUE"""),1.9)</f>
        <v>1.9</v>
      </c>
      <c r="Z18" s="6"/>
      <c r="AA18" s="6">
        <f>IFERROR(__xludf.DUMMYFUNCTION("""COMPUTED_VALUE"""),2261863.0)</f>
        <v>2261863</v>
      </c>
      <c r="AB18" s="6"/>
      <c r="AC18" s="6"/>
      <c r="AD18" s="6"/>
      <c r="AE18" s="6"/>
      <c r="AF18" s="6"/>
      <c r="AG18" s="6"/>
      <c r="AH18" s="6"/>
      <c r="AI18" s="6"/>
      <c r="AJ18" s="6"/>
      <c r="AK18" s="6"/>
    </row>
    <row r="19">
      <c r="A19" s="6">
        <f>IFERROR(__xludf.DUMMYFUNCTION("""COMPUTED_VALUE"""),18.0)</f>
        <v>18</v>
      </c>
      <c r="B19" s="5" t="str">
        <f>IFERROR(__xludf.DUMMYFUNCTION("""COMPUTED_VALUE"""),"LOPEZ GUEVARA DANIEL FELIPE")</f>
        <v>LOPEZ GUEVARA DANIEL FELIPE</v>
      </c>
      <c r="C19" s="6">
        <f>IFERROR(__xludf.DUMMYFUNCTION("""COMPUTED_VALUE"""),3.0)</f>
        <v>3</v>
      </c>
      <c r="D19" s="6">
        <f>IFERROR(__xludf.DUMMYFUNCTION("""COMPUTED_VALUE"""),3.8)</f>
        <v>3.8</v>
      </c>
      <c r="E19" s="6">
        <f>IFERROR(__xludf.DUMMYFUNCTION("""COMPUTED_VALUE"""),2.6)</f>
        <v>2.6</v>
      </c>
      <c r="F19" s="6">
        <f>IFERROR(__xludf.DUMMYFUNCTION("""COMPUTED_VALUE"""),1.8)</f>
        <v>1.8</v>
      </c>
      <c r="G19" s="6">
        <f>IFERROR(__xludf.DUMMYFUNCTION("""COMPUTED_VALUE"""),4.9)</f>
        <v>4.9</v>
      </c>
      <c r="H19" s="6">
        <f>IFERROR(__xludf.DUMMYFUNCTION("""COMPUTED_VALUE"""),4.4)</f>
        <v>4.4</v>
      </c>
      <c r="I19" s="6">
        <f>IFERROR(__xludf.DUMMYFUNCTION("""COMPUTED_VALUE"""),4.6)</f>
        <v>4.6</v>
      </c>
      <c r="J19" s="6">
        <f>IFERROR(__xludf.DUMMYFUNCTION("""COMPUTED_VALUE"""),3.6)</f>
        <v>3.6</v>
      </c>
      <c r="K19" s="6">
        <f>IFERROR(__xludf.DUMMYFUNCTION("""COMPUTED_VALUE"""),4.8)</f>
        <v>4.8</v>
      </c>
      <c r="L19" s="6">
        <f>IFERROR(__xludf.DUMMYFUNCTION("""COMPUTED_VALUE"""),5.0)</f>
        <v>5</v>
      </c>
      <c r="M19" s="6">
        <f>IFERROR(__xludf.DUMMYFUNCTION("""COMPUTED_VALUE"""),4.4)</f>
        <v>4.4</v>
      </c>
      <c r="N19" s="6">
        <f>IFERROR(__xludf.DUMMYFUNCTION("""COMPUTED_VALUE"""),3.0)</f>
        <v>3</v>
      </c>
      <c r="O19" s="6">
        <f>IFERROR(__xludf.DUMMYFUNCTION("""COMPUTED_VALUE"""),4.63)</f>
        <v>4.63</v>
      </c>
      <c r="P19" s="6">
        <f>IFERROR(__xludf.DUMMYFUNCTION("""COMPUTED_VALUE"""),5.0)</f>
        <v>5</v>
      </c>
      <c r="Q19" s="6">
        <f>IFERROR(__xludf.DUMMYFUNCTION("""COMPUTED_VALUE"""),5.0)</f>
        <v>5</v>
      </c>
      <c r="R19" s="6">
        <f>IFERROR(__xludf.DUMMYFUNCTION("""COMPUTED_VALUE"""),5.0)</f>
        <v>5</v>
      </c>
      <c r="S19" s="6">
        <f>IFERROR(__xludf.DUMMYFUNCTION("""COMPUTED_VALUE"""),5.0)</f>
        <v>5</v>
      </c>
      <c r="T19" s="6">
        <f>IFERROR(__xludf.DUMMYFUNCTION("""COMPUTED_VALUE"""),5.0)</f>
        <v>5</v>
      </c>
      <c r="U19" s="8">
        <f>IFERROR(__xludf.DUMMYFUNCTION("""COMPUTED_VALUE"""),3.105)</f>
        <v>3.105</v>
      </c>
      <c r="V19" s="12">
        <f>IFERROR(__xludf.DUMMYFUNCTION("""COMPUTED_VALUE"""),1.035)</f>
        <v>1.035</v>
      </c>
      <c r="W19" s="6"/>
      <c r="X19" s="6"/>
      <c r="Y19" s="6">
        <f>IFERROR(__xludf.DUMMYFUNCTION("""COMPUTED_VALUE"""),4.9)</f>
        <v>4.9</v>
      </c>
      <c r="Z19" s="6"/>
      <c r="AA19" s="6">
        <f>IFERROR(__xludf.DUMMYFUNCTION("""COMPUTED_VALUE"""),2262075.0)</f>
        <v>2262075</v>
      </c>
      <c r="AB19" s="6"/>
      <c r="AC19" s="6"/>
      <c r="AD19" s="6"/>
      <c r="AE19" s="6"/>
      <c r="AF19" s="6"/>
      <c r="AG19" s="6"/>
      <c r="AH19" s="6"/>
      <c r="AI19" s="6"/>
      <c r="AJ19" s="6"/>
      <c r="AK19" s="6"/>
    </row>
    <row r="20">
      <c r="A20" s="6">
        <f>IFERROR(__xludf.DUMMYFUNCTION("""COMPUTED_VALUE"""),19.0)</f>
        <v>19</v>
      </c>
      <c r="B20" s="5" t="str">
        <f>IFERROR(__xludf.DUMMYFUNCTION("""COMPUTED_VALUE"""),"MATEUS RODRIGUEZ DANIEL SANTIAGO")</f>
        <v>MATEUS RODRIGUEZ DANIEL SANTIAGO</v>
      </c>
      <c r="C20" s="6">
        <f>IFERROR(__xludf.DUMMYFUNCTION("""COMPUTED_VALUE"""),5.0)</f>
        <v>5</v>
      </c>
      <c r="D20" s="6">
        <f>IFERROR(__xludf.DUMMYFUNCTION("""COMPUTED_VALUE"""),4.7)</f>
        <v>4.7</v>
      </c>
      <c r="E20" s="6">
        <f>IFERROR(__xludf.DUMMYFUNCTION("""COMPUTED_VALUE"""),3.8)</f>
        <v>3.8</v>
      </c>
      <c r="F20" s="6">
        <f>IFERROR(__xludf.DUMMYFUNCTION("""COMPUTED_VALUE"""),3.5)</f>
        <v>3.5</v>
      </c>
      <c r="G20" s="6">
        <f>IFERROR(__xludf.DUMMYFUNCTION("""COMPUTED_VALUE"""),4.9)</f>
        <v>4.9</v>
      </c>
      <c r="H20" s="6">
        <f>IFERROR(__xludf.DUMMYFUNCTION("""COMPUTED_VALUE"""),4.2)</f>
        <v>4.2</v>
      </c>
      <c r="I20" s="6">
        <f>IFERROR(__xludf.DUMMYFUNCTION("""COMPUTED_VALUE"""),4.5)</f>
        <v>4.5</v>
      </c>
      <c r="J20" s="6">
        <f>IFERROR(__xludf.DUMMYFUNCTION("""COMPUTED_VALUE"""),5.0)</f>
        <v>5</v>
      </c>
      <c r="K20" s="6">
        <f>IFERROR(__xludf.DUMMYFUNCTION("""COMPUTED_VALUE"""),4.4)</f>
        <v>4.4</v>
      </c>
      <c r="L20" s="6">
        <f>IFERROR(__xludf.DUMMYFUNCTION("""COMPUTED_VALUE"""),5.0)</f>
        <v>5</v>
      </c>
      <c r="M20" s="6">
        <f>IFERROR(__xludf.DUMMYFUNCTION("""COMPUTED_VALUE"""),4.7)</f>
        <v>4.7</v>
      </c>
      <c r="N20" s="6">
        <f>IFERROR(__xludf.DUMMYFUNCTION("""COMPUTED_VALUE"""),4.6)</f>
        <v>4.6</v>
      </c>
      <c r="O20" s="6">
        <f>IFERROR(__xludf.DUMMYFUNCTION("""COMPUTED_VALUE"""),4.5)</f>
        <v>4.5</v>
      </c>
      <c r="P20" s="6">
        <f>IFERROR(__xludf.DUMMYFUNCTION("""COMPUTED_VALUE"""),5.0)</f>
        <v>5</v>
      </c>
      <c r="Q20" s="6">
        <f>IFERROR(__xludf.DUMMYFUNCTION("""COMPUTED_VALUE"""),5.0)</f>
        <v>5</v>
      </c>
      <c r="R20" s="6">
        <f>IFERROR(__xludf.DUMMYFUNCTION("""COMPUTED_VALUE"""),5.0)</f>
        <v>5</v>
      </c>
      <c r="S20" s="6">
        <f>IFERROR(__xludf.DUMMYFUNCTION("""COMPUTED_VALUE"""),0.0)</f>
        <v>0</v>
      </c>
      <c r="T20" s="6">
        <f>IFERROR(__xludf.DUMMYFUNCTION("""COMPUTED_VALUE"""),5.0)</f>
        <v>5</v>
      </c>
      <c r="U20" s="8">
        <f>IFERROR(__xludf.DUMMYFUNCTION("""COMPUTED_VALUE"""),4.325)</f>
        <v>4.325</v>
      </c>
      <c r="V20" s="12">
        <f>IFERROR(__xludf.DUMMYFUNCTION("""COMPUTED_VALUE"""),1.4416666666666667)</f>
        <v>1.441666667</v>
      </c>
      <c r="W20" s="6"/>
      <c r="X20" s="6"/>
      <c r="Y20" s="6">
        <f>IFERROR(__xludf.DUMMYFUNCTION("""COMPUTED_VALUE"""),4.9)</f>
        <v>4.9</v>
      </c>
      <c r="Z20" s="6"/>
      <c r="AA20" s="6">
        <f>IFERROR(__xludf.DUMMYFUNCTION("""COMPUTED_VALUE"""),2260425.0)</f>
        <v>2260425</v>
      </c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>
      <c r="A21" s="6">
        <f>IFERROR(__xludf.DUMMYFUNCTION("""COMPUTED_VALUE"""),20.0)</f>
        <v>20</v>
      </c>
      <c r="B21" s="5" t="str">
        <f>IFERROR(__xludf.DUMMYFUNCTION("""COMPUTED_VALUE"""),"MEJIA PARRA STEFANE")</f>
        <v>MEJIA PARRA STEFANE</v>
      </c>
      <c r="C21" s="6">
        <f>IFERROR(__xludf.DUMMYFUNCTION("""COMPUTED_VALUE"""),4.0)</f>
        <v>4</v>
      </c>
      <c r="D21" s="6">
        <f>IFERROR(__xludf.DUMMYFUNCTION("""COMPUTED_VALUE"""),3.0)</f>
        <v>3</v>
      </c>
      <c r="E21" s="6">
        <f>IFERROR(__xludf.DUMMYFUNCTION("""COMPUTED_VALUE"""),2.9)</f>
        <v>2.9</v>
      </c>
      <c r="F21" s="6">
        <f>IFERROR(__xludf.DUMMYFUNCTION("""COMPUTED_VALUE"""),2.7)</f>
        <v>2.7</v>
      </c>
      <c r="G21" s="6">
        <f>IFERROR(__xludf.DUMMYFUNCTION("""COMPUTED_VALUE"""),4.9)</f>
        <v>4.9</v>
      </c>
      <c r="H21" s="6">
        <f>IFERROR(__xludf.DUMMYFUNCTION("""COMPUTED_VALUE"""),3.9)</f>
        <v>3.9</v>
      </c>
      <c r="I21" s="6">
        <f>IFERROR(__xludf.DUMMYFUNCTION("""COMPUTED_VALUE"""),4.4)</f>
        <v>4.4</v>
      </c>
      <c r="J21" s="6">
        <f>IFERROR(__xludf.DUMMYFUNCTION("""COMPUTED_VALUE"""),3.6)</f>
        <v>3.6</v>
      </c>
      <c r="K21" s="6">
        <f>IFERROR(__xludf.DUMMYFUNCTION("""COMPUTED_VALUE"""),4.6)</f>
        <v>4.6</v>
      </c>
      <c r="L21" s="6">
        <f>IFERROR(__xludf.DUMMYFUNCTION("""COMPUTED_VALUE"""),4.7)</f>
        <v>4.7</v>
      </c>
      <c r="M21" s="6">
        <f>IFERROR(__xludf.DUMMYFUNCTION("""COMPUTED_VALUE"""),4.1)</f>
        <v>4.1</v>
      </c>
      <c r="N21" s="6">
        <f>IFERROR(__xludf.DUMMYFUNCTION("""COMPUTED_VALUE"""),4.8)</f>
        <v>4.8</v>
      </c>
      <c r="O21" s="6">
        <f>IFERROR(__xludf.DUMMYFUNCTION("""COMPUTED_VALUE"""),4.5)</f>
        <v>4.5</v>
      </c>
      <c r="P21" s="6">
        <f>IFERROR(__xludf.DUMMYFUNCTION("""COMPUTED_VALUE"""),5.0)</f>
        <v>5</v>
      </c>
      <c r="Q21" s="6">
        <f>IFERROR(__xludf.DUMMYFUNCTION("""COMPUTED_VALUE"""),5.0)</f>
        <v>5</v>
      </c>
      <c r="R21" s="6">
        <f>IFERROR(__xludf.DUMMYFUNCTION("""COMPUTED_VALUE"""),5.0)</f>
        <v>5</v>
      </c>
      <c r="S21" s="6">
        <f>IFERROR(__xludf.DUMMYFUNCTION("""COMPUTED_VALUE"""),5.0)</f>
        <v>5</v>
      </c>
      <c r="T21" s="6">
        <f>IFERROR(__xludf.DUMMYFUNCTION("""COMPUTED_VALUE"""),5.0)</f>
        <v>5</v>
      </c>
      <c r="U21" s="8">
        <f>IFERROR(__xludf.DUMMYFUNCTION("""COMPUTED_VALUE"""),3.4)</f>
        <v>3.4</v>
      </c>
      <c r="V21" s="12">
        <f>IFERROR(__xludf.DUMMYFUNCTION("""COMPUTED_VALUE"""),1.1333333333333333)</f>
        <v>1.133333333</v>
      </c>
      <c r="W21" s="6"/>
      <c r="X21" s="6"/>
      <c r="Y21" s="6">
        <f>IFERROR(__xludf.DUMMYFUNCTION("""COMPUTED_VALUE"""),4.9)</f>
        <v>4.9</v>
      </c>
      <c r="Z21" s="6"/>
      <c r="AA21" s="6">
        <f>IFERROR(__xludf.DUMMYFUNCTION("""COMPUTED_VALUE"""),2261219.0)</f>
        <v>2261219</v>
      </c>
      <c r="AB21" s="6"/>
      <c r="AC21" s="6"/>
      <c r="AD21" s="6"/>
      <c r="AE21" s="6"/>
      <c r="AF21" s="6"/>
      <c r="AG21" s="6"/>
      <c r="AH21" s="6"/>
      <c r="AI21" s="6"/>
      <c r="AJ21" s="6"/>
      <c r="AK21" s="6"/>
    </row>
    <row r="22">
      <c r="A22" s="6">
        <f>IFERROR(__xludf.DUMMYFUNCTION("""COMPUTED_VALUE"""),21.0)</f>
        <v>21</v>
      </c>
      <c r="B22" s="5" t="str">
        <f>IFERROR(__xludf.DUMMYFUNCTION("""COMPUTED_VALUE"""),"MIRANDA ARROYO ALEJANDRO ELIAS")</f>
        <v>MIRANDA ARROYO ALEJANDRO ELIAS</v>
      </c>
      <c r="C22" s="6">
        <f>IFERROR(__xludf.DUMMYFUNCTION("""COMPUTED_VALUE"""),4.1)</f>
        <v>4.1</v>
      </c>
      <c r="D22" s="6">
        <f>IFERROR(__xludf.DUMMYFUNCTION("""COMPUTED_VALUE"""),5.0)</f>
        <v>5</v>
      </c>
      <c r="E22" s="6">
        <f>IFERROR(__xludf.DUMMYFUNCTION("""COMPUTED_VALUE"""),2.4)</f>
        <v>2.4</v>
      </c>
      <c r="F22" s="6">
        <f>IFERROR(__xludf.DUMMYFUNCTION("""COMPUTED_VALUE"""),3.2)</f>
        <v>3.2</v>
      </c>
      <c r="G22" s="6">
        <f>IFERROR(__xludf.DUMMYFUNCTION("""COMPUTED_VALUE"""),5.0)</f>
        <v>5</v>
      </c>
      <c r="H22" s="6">
        <f>IFERROR(__xludf.DUMMYFUNCTION("""COMPUTED_VALUE"""),4.3)</f>
        <v>4.3</v>
      </c>
      <c r="I22" s="6">
        <f>IFERROR(__xludf.DUMMYFUNCTION("""COMPUTED_VALUE"""),4.6)</f>
        <v>4.6</v>
      </c>
      <c r="J22" s="6">
        <f>IFERROR(__xludf.DUMMYFUNCTION("""COMPUTED_VALUE"""),3.6)</f>
        <v>3.6</v>
      </c>
      <c r="K22" s="6">
        <f>IFERROR(__xludf.DUMMYFUNCTION("""COMPUTED_VALUE"""),5.0)</f>
        <v>5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IFERROR(__xludf.DUMMYFUNCTION("""COMPUTED_VALUE"""),3.0)</f>
        <v>3</v>
      </c>
      <c r="O22" s="6">
        <f>IFERROR(__xludf.DUMMYFUNCTION("""COMPUTED_VALUE"""),5.0)</f>
        <v>5</v>
      </c>
      <c r="P22" s="6">
        <f>IFERROR(__xludf.DUMMYFUNCTION("""COMPUTED_VALUE"""),4.65)</f>
        <v>4.65</v>
      </c>
      <c r="Q22" s="6">
        <f>IFERROR(__xludf.DUMMYFUNCTION("""COMPUTED_VALUE"""),5.0)</f>
        <v>5</v>
      </c>
      <c r="R22" s="6">
        <f>IFERROR(__xludf.DUMMYFUNCTION("""COMPUTED_VALUE"""),5.0)</f>
        <v>5</v>
      </c>
      <c r="S22" s="6">
        <f>IFERROR(__xludf.DUMMYFUNCTION("""COMPUTED_VALUE"""),5.0)</f>
        <v>5</v>
      </c>
      <c r="T22" s="6">
        <f>IFERROR(__xludf.DUMMYFUNCTION("""COMPUTED_VALUE"""),5.0)</f>
        <v>5</v>
      </c>
      <c r="U22" s="8">
        <f>IFERROR(__xludf.DUMMYFUNCTION("""COMPUTED_VALUE"""),3.8100000000000005)</f>
        <v>3.81</v>
      </c>
      <c r="V22" s="12">
        <f>IFERROR(__xludf.DUMMYFUNCTION("""COMPUTED_VALUE"""),1.2700000000000002)</f>
        <v>1.27</v>
      </c>
      <c r="W22" s="6"/>
      <c r="X22" s="6"/>
      <c r="Y22" s="6">
        <f>IFERROR(__xludf.DUMMYFUNCTION("""COMPUTED_VALUE"""),5.0)</f>
        <v>5</v>
      </c>
      <c r="Z22" s="6"/>
      <c r="AA22" s="6">
        <f>IFERROR(__xludf.DUMMYFUNCTION("""COMPUTED_VALUE"""),2261864.0)</f>
        <v>2261864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</row>
    <row r="23">
      <c r="A23" s="6">
        <f>IFERROR(__xludf.DUMMYFUNCTION("""COMPUTED_VALUE"""),22.0)</f>
        <v>22</v>
      </c>
      <c r="B23" s="5" t="str">
        <f>IFERROR(__xludf.DUMMYFUNCTION("""COMPUTED_VALUE"""),"MURILLO CASTRO BLASS ESTEBAN")</f>
        <v>MURILLO CASTRO BLASS ESTEBAN</v>
      </c>
      <c r="C23" s="6">
        <f>IFERROR(__xludf.DUMMYFUNCTION("""COMPUTED_VALUE"""),3.5)</f>
        <v>3.5</v>
      </c>
      <c r="D23" s="6">
        <f>IFERROR(__xludf.DUMMYFUNCTION("""COMPUTED_VALUE"""),5.0)</f>
        <v>5</v>
      </c>
      <c r="E23" s="6">
        <f>IFERROR(__xludf.DUMMYFUNCTION("""COMPUTED_VALUE"""),3.3)</f>
        <v>3.3</v>
      </c>
      <c r="F23" s="6">
        <f>IFERROR(__xludf.DUMMYFUNCTION("""COMPUTED_VALUE"""),4.7)</f>
        <v>4.7</v>
      </c>
      <c r="G23" s="6">
        <f>IFERROR(__xludf.DUMMYFUNCTION("""COMPUTED_VALUE"""),5.0)</f>
        <v>5</v>
      </c>
      <c r="H23" s="6">
        <f>IFERROR(__xludf.DUMMYFUNCTION("""COMPUTED_VALUE"""),4.7)</f>
        <v>4.7</v>
      </c>
      <c r="I23" s="6">
        <f>IFERROR(__xludf.DUMMYFUNCTION("""COMPUTED_VALUE"""),4.8)</f>
        <v>4.8</v>
      </c>
      <c r="J23" s="6">
        <f>IFERROR(__xludf.DUMMYFUNCTION("""COMPUTED_VALUE"""),5.0)</f>
        <v>5</v>
      </c>
      <c r="K23" s="6">
        <f>IFERROR(__xludf.DUMMYFUNCTION("""COMPUTED_VALUE"""),4.75)</f>
        <v>4.75</v>
      </c>
      <c r="L23" s="6">
        <f>IFERROR(__xludf.DUMMYFUNCTION("""COMPUTED_VALUE"""),5.0)</f>
        <v>5</v>
      </c>
      <c r="M23" s="6">
        <f>IFERROR(__xludf.DUMMYFUNCTION("""COMPUTED_VALUE"""),4.1)</f>
        <v>4.1</v>
      </c>
      <c r="N23" s="6">
        <f>IFERROR(__xludf.DUMMYFUNCTION("""COMPUTED_VALUE"""),4.6)</f>
        <v>4.6</v>
      </c>
      <c r="O23" s="6">
        <f>IFERROR(__xludf.DUMMYFUNCTION("""COMPUTED_VALUE"""),4.88)</f>
        <v>4.88</v>
      </c>
      <c r="P23" s="6">
        <f>IFERROR(__xludf.DUMMYFUNCTION("""COMPUTED_VALUE"""),4.66)</f>
        <v>4.66</v>
      </c>
      <c r="Q23" s="6">
        <f>IFERROR(__xludf.DUMMYFUNCTION("""COMPUTED_VALUE"""),5.0)</f>
        <v>5</v>
      </c>
      <c r="R23" s="6">
        <f>IFERROR(__xludf.DUMMYFUNCTION("""COMPUTED_VALUE"""),5.0)</f>
        <v>5</v>
      </c>
      <c r="S23" s="6">
        <f>IFERROR(__xludf.DUMMYFUNCTION("""COMPUTED_VALUE"""),5.0)</f>
        <v>5</v>
      </c>
      <c r="T23" s="6">
        <f>IFERROR(__xludf.DUMMYFUNCTION("""COMPUTED_VALUE"""),5.0)</f>
        <v>5</v>
      </c>
      <c r="U23" s="8">
        <f>IFERROR(__xludf.DUMMYFUNCTION("""COMPUTED_VALUE"""),4.215)</f>
        <v>4.215</v>
      </c>
      <c r="V23" s="12">
        <f>IFERROR(__xludf.DUMMYFUNCTION("""COMPUTED_VALUE"""),1.405)</f>
        <v>1.405</v>
      </c>
      <c r="W23" s="6"/>
      <c r="X23" s="6"/>
      <c r="Y23" s="6">
        <f>IFERROR(__xludf.DUMMYFUNCTION("""COMPUTED_VALUE"""),5.0)</f>
        <v>5</v>
      </c>
      <c r="Z23" s="6"/>
      <c r="AA23" s="6">
        <f>IFERROR(__xludf.DUMMYFUNCTION("""COMPUTED_VALUE"""),2261216.0)</f>
        <v>2261216</v>
      </c>
      <c r="AB23" s="6"/>
      <c r="AC23" s="6"/>
      <c r="AD23" s="6"/>
      <c r="AE23" s="6"/>
      <c r="AF23" s="6"/>
      <c r="AG23" s="6"/>
      <c r="AH23" s="6"/>
      <c r="AI23" s="6"/>
      <c r="AJ23" s="6"/>
      <c r="AK23" s="6"/>
    </row>
    <row r="24">
      <c r="A24" s="6">
        <f>IFERROR(__xludf.DUMMYFUNCTION("""COMPUTED_VALUE"""),23.0)</f>
        <v>23</v>
      </c>
      <c r="B24" s="5" t="str">
        <f>IFERROR(__xludf.DUMMYFUNCTION("""COMPUTED_VALUE"""),"MUÑOZ GALLO JUAN DAVID")</f>
        <v>MUÑOZ GALLO JUAN DAVID</v>
      </c>
      <c r="C24" s="6">
        <f>IFERROR(__xludf.DUMMYFUNCTION("""COMPUTED_VALUE"""),1.9)</f>
        <v>1.9</v>
      </c>
      <c r="D24" s="6">
        <f>IFERROR(__xludf.DUMMYFUNCTION("""COMPUTED_VALUE"""),4.4)</f>
        <v>4.4</v>
      </c>
      <c r="E24" s="6">
        <f>IFERROR(__xludf.DUMMYFUNCTION("""COMPUTED_VALUE"""),1.5)</f>
        <v>1.5</v>
      </c>
      <c r="F24" s="6">
        <f>IFERROR(__xludf.DUMMYFUNCTION("""COMPUTED_VALUE"""),2.7)</f>
        <v>2.7</v>
      </c>
      <c r="G24" s="6">
        <f>IFERROR(__xludf.DUMMYFUNCTION("""COMPUTED_VALUE"""),3.7)</f>
        <v>3.7</v>
      </c>
      <c r="H24" s="6">
        <f>IFERROR(__xludf.DUMMYFUNCTION("""COMPUTED_VALUE"""),4.0)</f>
        <v>4</v>
      </c>
      <c r="I24" s="6">
        <f>IFERROR(__xludf.DUMMYFUNCTION("""COMPUTED_VALUE"""),3.7)</f>
        <v>3.7</v>
      </c>
      <c r="J24" s="6">
        <f>IFERROR(__xludf.DUMMYFUNCTION("""COMPUTED_VALUE"""),0.0)</f>
        <v>0</v>
      </c>
      <c r="K24" s="6">
        <f>IFERROR(__xludf.DUMMYFUNCTION("""COMPUTED_VALUE"""),0.0)</f>
        <v>0</v>
      </c>
      <c r="L24" s="6">
        <f>IFERROR(__xludf.DUMMYFUNCTION("""COMPUTED_VALUE"""),0.0)</f>
        <v>0</v>
      </c>
      <c r="M24" s="6">
        <f>IFERROR(__xludf.DUMMYFUNCTION("""COMPUTED_VALUE"""),0.0)</f>
        <v>0</v>
      </c>
      <c r="N24" s="6">
        <f>IFERROR(__xludf.DUMMYFUNCTION("""COMPUTED_VALUE"""),3.5)</f>
        <v>3.5</v>
      </c>
      <c r="O24" s="6">
        <f>IFERROR(__xludf.DUMMYFUNCTION("""COMPUTED_VALUE"""),4.38)</f>
        <v>4.38</v>
      </c>
      <c r="P24" s="6">
        <f>IFERROR(__xludf.DUMMYFUNCTION("""COMPUTED_VALUE"""),4.67)</f>
        <v>4.67</v>
      </c>
      <c r="Q24" s="6">
        <f>IFERROR(__xludf.DUMMYFUNCTION("""COMPUTED_VALUE"""),0.0)</f>
        <v>0</v>
      </c>
      <c r="R24" s="6">
        <f>IFERROR(__xludf.DUMMYFUNCTION("""COMPUTED_VALUE"""),5.0)</f>
        <v>5</v>
      </c>
      <c r="S24" s="6">
        <f>IFERROR(__xludf.DUMMYFUNCTION("""COMPUTED_VALUE"""),5.0)</f>
        <v>5</v>
      </c>
      <c r="T24" s="6">
        <f>IFERROR(__xludf.DUMMYFUNCTION("""COMPUTED_VALUE"""),5.0)</f>
        <v>5</v>
      </c>
      <c r="U24" s="8">
        <f>IFERROR(__xludf.DUMMYFUNCTION("""COMPUTED_VALUE"""),2.73)</f>
        <v>2.73</v>
      </c>
      <c r="V24" s="12">
        <f>IFERROR(__xludf.DUMMYFUNCTION("""COMPUTED_VALUE"""),0.91)</f>
        <v>0.91</v>
      </c>
      <c r="W24" s="6"/>
      <c r="X24" s="6"/>
      <c r="Y24" s="6">
        <f>IFERROR(__xludf.DUMMYFUNCTION("""COMPUTED_VALUE"""),3.4)</f>
        <v>3.4</v>
      </c>
      <c r="Z24" s="6"/>
      <c r="AA24" s="6">
        <f>IFERROR(__xludf.DUMMYFUNCTION("""COMPUTED_VALUE"""),2261215.0)</f>
        <v>2261215</v>
      </c>
      <c r="AB24" s="6"/>
      <c r="AC24" s="6"/>
      <c r="AD24" s="6"/>
      <c r="AE24" s="6"/>
      <c r="AF24" s="6"/>
      <c r="AG24" s="6"/>
      <c r="AH24" s="6"/>
      <c r="AI24" s="6"/>
      <c r="AJ24" s="6"/>
      <c r="AK24" s="6"/>
    </row>
    <row r="25">
      <c r="A25" s="6">
        <f>IFERROR(__xludf.DUMMYFUNCTION("""COMPUTED_VALUE"""),24.0)</f>
        <v>24</v>
      </c>
      <c r="B25" s="5" t="str">
        <f>IFERROR(__xludf.DUMMYFUNCTION("""COMPUTED_VALUE"""),"NIÑO CORTES ANDRES ESTEBAN")</f>
        <v>NIÑO CORTES ANDRES ESTEBAN</v>
      </c>
      <c r="C25" s="6">
        <f>IFERROR(__xludf.DUMMYFUNCTION("""COMPUTED_VALUE"""),4.1)</f>
        <v>4.1</v>
      </c>
      <c r="D25" s="6">
        <f>IFERROR(__xludf.DUMMYFUNCTION("""COMPUTED_VALUE"""),5.0)</f>
        <v>5</v>
      </c>
      <c r="E25" s="6">
        <f>IFERROR(__xludf.DUMMYFUNCTION("""COMPUTED_VALUE"""),2.7)</f>
        <v>2.7</v>
      </c>
      <c r="F25" s="6">
        <f>IFERROR(__xludf.DUMMYFUNCTION("""COMPUTED_VALUE"""),2.0)</f>
        <v>2</v>
      </c>
      <c r="G25" s="6">
        <f>IFERROR(__xludf.DUMMYFUNCTION("""COMPUTED_VALUE"""),4.8)</f>
        <v>4.8</v>
      </c>
      <c r="H25" s="6">
        <f>IFERROR(__xludf.DUMMYFUNCTION("""COMPUTED_VALUE"""),3.5)</f>
        <v>3.5</v>
      </c>
      <c r="I25" s="6">
        <f>IFERROR(__xludf.DUMMYFUNCTION("""COMPUTED_VALUE"""),4.1)</f>
        <v>4.1</v>
      </c>
      <c r="J25" s="6">
        <f>IFERROR(__xludf.DUMMYFUNCTION("""COMPUTED_VALUE"""),5.0)</f>
        <v>5</v>
      </c>
      <c r="K25" s="6">
        <f>IFERROR(__xludf.DUMMYFUNCTION("""COMPUTED_VALUE"""),4.7)</f>
        <v>4.7</v>
      </c>
      <c r="L25" s="6">
        <f>IFERROR(__xludf.DUMMYFUNCTION("""COMPUTED_VALUE"""),4.93)</f>
        <v>4.93</v>
      </c>
      <c r="M25" s="6">
        <f>IFERROR(__xludf.DUMMYFUNCTION("""COMPUTED_VALUE"""),3.9)</f>
        <v>3.9</v>
      </c>
      <c r="N25" s="6">
        <f>IFERROR(__xludf.DUMMYFUNCTION("""COMPUTED_VALUE"""),3.6)</f>
        <v>3.6</v>
      </c>
      <c r="O25" s="6">
        <f>IFERROR(__xludf.DUMMYFUNCTION("""COMPUTED_VALUE"""),4.63)</f>
        <v>4.63</v>
      </c>
      <c r="P25" s="6">
        <f>IFERROR(__xludf.DUMMYFUNCTION("""COMPUTED_VALUE"""),5.0)</f>
        <v>5</v>
      </c>
      <c r="Q25" s="6">
        <f>IFERROR(__xludf.DUMMYFUNCTION("""COMPUTED_VALUE"""),0.0)</f>
        <v>0</v>
      </c>
      <c r="R25" s="6">
        <f>IFERROR(__xludf.DUMMYFUNCTION("""COMPUTED_VALUE"""),5.0)</f>
        <v>5</v>
      </c>
      <c r="S25" s="6">
        <f>IFERROR(__xludf.DUMMYFUNCTION("""COMPUTED_VALUE"""),0.0)</f>
        <v>0</v>
      </c>
      <c r="T25" s="6">
        <f>IFERROR(__xludf.DUMMYFUNCTION("""COMPUTED_VALUE"""),5.0)</f>
        <v>5</v>
      </c>
      <c r="U25" s="8">
        <f>IFERROR(__xludf.DUMMYFUNCTION("""COMPUTED_VALUE"""),3.615)</f>
        <v>3.615</v>
      </c>
      <c r="V25" s="12">
        <f>IFERROR(__xludf.DUMMYFUNCTION("""COMPUTED_VALUE"""),1.205)</f>
        <v>1.205</v>
      </c>
      <c r="W25" s="6"/>
      <c r="X25" s="6"/>
      <c r="Y25" s="6">
        <f>IFERROR(__xludf.DUMMYFUNCTION("""COMPUTED_VALUE"""),4.8)</f>
        <v>4.8</v>
      </c>
      <c r="Z25" s="6"/>
      <c r="AA25" s="6">
        <f>IFERROR(__xludf.DUMMYFUNCTION("""COMPUTED_VALUE"""),2261195.0)</f>
        <v>2261195</v>
      </c>
      <c r="AB25" s="6"/>
      <c r="AC25" s="6"/>
      <c r="AD25" s="6"/>
      <c r="AE25" s="6"/>
      <c r="AF25" s="6"/>
      <c r="AG25" s="6"/>
      <c r="AH25" s="6"/>
      <c r="AI25" s="6"/>
      <c r="AJ25" s="6"/>
      <c r="AK25" s="6"/>
    </row>
    <row r="26">
      <c r="A26" s="6">
        <f>IFERROR(__xludf.DUMMYFUNCTION("""COMPUTED_VALUE"""),25.0)</f>
        <v>25</v>
      </c>
      <c r="B26" s="5" t="str">
        <f>IFERROR(__xludf.DUMMYFUNCTION("""COMPUTED_VALUE"""),"ORTIZ MORILLO CARLOS DANIEL")</f>
        <v>ORTIZ MORILLO CARLOS DANIEL</v>
      </c>
      <c r="C26" s="6">
        <f>IFERROR(__xludf.DUMMYFUNCTION("""COMPUTED_VALUE"""),2.5)</f>
        <v>2.5</v>
      </c>
      <c r="D26" s="6">
        <f>IFERROR(__xludf.DUMMYFUNCTION("""COMPUTED_VALUE"""),4.6)</f>
        <v>4.6</v>
      </c>
      <c r="E26" s="6">
        <f>IFERROR(__xludf.DUMMYFUNCTION("""COMPUTED_VALUE"""),2.6)</f>
        <v>2.6</v>
      </c>
      <c r="F26" s="6">
        <f>IFERROR(__xludf.DUMMYFUNCTION("""COMPUTED_VALUE"""),2.5)</f>
        <v>2.5</v>
      </c>
      <c r="G26" s="6">
        <f>IFERROR(__xludf.DUMMYFUNCTION("""COMPUTED_VALUE"""),4.8)</f>
        <v>4.8</v>
      </c>
      <c r="H26" s="6">
        <f>IFERROR(__xludf.DUMMYFUNCTION("""COMPUTED_VALUE"""),3.7)</f>
        <v>3.7</v>
      </c>
      <c r="I26" s="6">
        <f>IFERROR(__xludf.DUMMYFUNCTION("""COMPUTED_VALUE"""),4.2)</f>
        <v>4.2</v>
      </c>
      <c r="J26" s="6">
        <f>IFERROR(__xludf.DUMMYFUNCTION("""COMPUTED_VALUE"""),5.0)</f>
        <v>5</v>
      </c>
      <c r="K26" s="6">
        <f>IFERROR(__xludf.DUMMYFUNCTION("""COMPUTED_VALUE"""),3.72)</f>
        <v>3.72</v>
      </c>
      <c r="L26" s="6">
        <f>IFERROR(__xludf.DUMMYFUNCTION("""COMPUTED_VALUE"""),5.0)</f>
        <v>5</v>
      </c>
      <c r="M26" s="6">
        <f>IFERROR(__xludf.DUMMYFUNCTION("""COMPUTED_VALUE"""),0.0)</f>
        <v>0</v>
      </c>
      <c r="N26" s="6">
        <f>IFERROR(__xludf.DUMMYFUNCTION("""COMPUTED_VALUE"""),3.5)</f>
        <v>3.5</v>
      </c>
      <c r="O26" s="6">
        <f>IFERROR(__xludf.DUMMYFUNCTION("""COMPUTED_VALUE"""),4.38)</f>
        <v>4.38</v>
      </c>
      <c r="P26" s="6">
        <f>IFERROR(__xludf.DUMMYFUNCTION("""COMPUTED_VALUE"""),2.98)</f>
        <v>2.98</v>
      </c>
      <c r="Q26" s="6">
        <f>IFERROR(__xludf.DUMMYFUNCTION("""COMPUTED_VALUE"""),5.0)</f>
        <v>5</v>
      </c>
      <c r="R26" s="6">
        <f>IFERROR(__xludf.DUMMYFUNCTION("""COMPUTED_VALUE"""),5.0)</f>
        <v>5</v>
      </c>
      <c r="S26" s="6">
        <f>IFERROR(__xludf.DUMMYFUNCTION("""COMPUTED_VALUE"""),5.0)</f>
        <v>5</v>
      </c>
      <c r="T26" s="6">
        <f>IFERROR(__xludf.DUMMYFUNCTION("""COMPUTED_VALUE"""),5.0)</f>
        <v>5</v>
      </c>
      <c r="U26" s="8">
        <f>IFERROR(__xludf.DUMMYFUNCTION("""COMPUTED_VALUE"""),3.29)</f>
        <v>3.29</v>
      </c>
      <c r="V26" s="12">
        <f>IFERROR(__xludf.DUMMYFUNCTION("""COMPUTED_VALUE"""),1.0966666666666667)</f>
        <v>1.096666667</v>
      </c>
      <c r="W26" s="6"/>
      <c r="X26" s="6"/>
      <c r="Y26" s="6">
        <f>IFERROR(__xludf.DUMMYFUNCTION("""COMPUTED_VALUE"""),4.8)</f>
        <v>4.8</v>
      </c>
      <c r="Z26" s="6"/>
      <c r="AA26" s="6">
        <f>IFERROR(__xludf.DUMMYFUNCTION("""COMPUTED_VALUE"""),2261681.0)</f>
        <v>2261681</v>
      </c>
      <c r="AB26" s="6"/>
      <c r="AC26" s="6"/>
      <c r="AD26" s="6"/>
      <c r="AE26" s="6"/>
      <c r="AF26" s="6"/>
      <c r="AG26" s="6"/>
      <c r="AH26" s="6"/>
      <c r="AI26" s="6"/>
      <c r="AJ26" s="6"/>
      <c r="AK26" s="6"/>
    </row>
    <row r="27">
      <c r="A27" s="6">
        <f>IFERROR(__xludf.DUMMYFUNCTION("""COMPUTED_VALUE"""),26.0)</f>
        <v>26</v>
      </c>
      <c r="B27" s="5" t="str">
        <f>IFERROR(__xludf.DUMMYFUNCTION("""COMPUTED_VALUE"""),"OÑATE MONTENEGRO DANIEL ANTONIO")</f>
        <v>OÑATE MONTENEGRO DANIEL ANTONIO</v>
      </c>
      <c r="C27" s="6">
        <f>IFERROR(__xludf.DUMMYFUNCTION("""COMPUTED_VALUE"""),2.1)</f>
        <v>2.1</v>
      </c>
      <c r="D27" s="6">
        <f>IFERROR(__xludf.DUMMYFUNCTION("""COMPUTED_VALUE"""),3.6)</f>
        <v>3.6</v>
      </c>
      <c r="E27" s="6">
        <f>IFERROR(__xludf.DUMMYFUNCTION("""COMPUTED_VALUE"""),2.9)</f>
        <v>2.9</v>
      </c>
      <c r="F27" s="6">
        <f>IFERROR(__xludf.DUMMYFUNCTION("""COMPUTED_VALUE"""),0.5)</f>
        <v>0.5</v>
      </c>
      <c r="G27" s="6">
        <f>IFERROR(__xludf.DUMMYFUNCTION("""COMPUTED_VALUE"""),4.1)</f>
        <v>4.1</v>
      </c>
      <c r="H27" s="6">
        <f>IFERROR(__xludf.DUMMYFUNCTION("""COMPUTED_VALUE"""),3.7)</f>
        <v>3.7</v>
      </c>
      <c r="I27" s="6">
        <f>IFERROR(__xludf.DUMMYFUNCTION("""COMPUTED_VALUE"""),3.9)</f>
        <v>3.9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IFERROR(__xludf.DUMMYFUNCTION("""COMPUTED_VALUE"""),0.0)</f>
        <v>0</v>
      </c>
      <c r="M27" s="6">
        <f>IFERROR(__xludf.DUMMYFUNCTION("""COMPUTED_VALUE"""),0.0)</f>
        <v>0</v>
      </c>
      <c r="N27" s="6">
        <f>IFERROR(__xludf.DUMMYFUNCTION("""COMPUTED_VALUE"""),1.8)</f>
        <v>1.8</v>
      </c>
      <c r="O27" s="6">
        <f>IFERROR(__xludf.DUMMYFUNCTION("""COMPUTED_VALUE"""),4.25)</f>
        <v>4.25</v>
      </c>
      <c r="P27" s="6">
        <f>IFERROR(__xludf.DUMMYFUNCTION("""COMPUTED_VALUE"""),5.0)</f>
        <v>5</v>
      </c>
      <c r="Q27" s="6">
        <f>IFERROR(__xludf.DUMMYFUNCTION("""COMPUTED_VALUE"""),5.0)</f>
        <v>5</v>
      </c>
      <c r="R27" s="6">
        <f>IFERROR(__xludf.DUMMYFUNCTION("""COMPUTED_VALUE"""),5.0)</f>
        <v>5</v>
      </c>
      <c r="S27" s="6">
        <f>IFERROR(__xludf.DUMMYFUNCTION("""COMPUTED_VALUE"""),5.0)</f>
        <v>5</v>
      </c>
      <c r="T27" s="6">
        <f>IFERROR(__xludf.DUMMYFUNCTION("""COMPUTED_VALUE"""),0.0)</f>
        <v>0</v>
      </c>
      <c r="U27" s="8">
        <f>IFERROR(__xludf.DUMMYFUNCTION("""COMPUTED_VALUE"""),2.58)</f>
        <v>2.58</v>
      </c>
      <c r="V27" s="12">
        <f>IFERROR(__xludf.DUMMYFUNCTION("""COMPUTED_VALUE"""),0.86)</f>
        <v>0.86</v>
      </c>
      <c r="W27" s="6"/>
      <c r="X27" s="6"/>
      <c r="Y27" s="6">
        <f>IFERROR(__xludf.DUMMYFUNCTION("""COMPUTED_VALUE"""),4.1)</f>
        <v>4.1</v>
      </c>
      <c r="Z27" s="6"/>
      <c r="AA27" s="6">
        <f>IFERROR(__xludf.DUMMYFUNCTION("""COMPUTED_VALUE"""),2261757.0)</f>
        <v>2261757</v>
      </c>
      <c r="AB27" s="6"/>
      <c r="AC27" s="6"/>
      <c r="AD27" s="6"/>
      <c r="AE27" s="6"/>
      <c r="AF27" s="6"/>
      <c r="AG27" s="6"/>
      <c r="AH27" s="6"/>
      <c r="AI27" s="6"/>
      <c r="AJ27" s="6"/>
      <c r="AK27" s="6"/>
    </row>
    <row r="28">
      <c r="A28" s="6">
        <f>IFERROR(__xludf.DUMMYFUNCTION("""COMPUTED_VALUE"""),27.0)</f>
        <v>27</v>
      </c>
      <c r="B28" s="5" t="str">
        <f>IFERROR(__xludf.DUMMYFUNCTION("""COMPUTED_VALUE"""),"OÑATE PUMAREJO SAMUEL DAVID")</f>
        <v>OÑATE PUMAREJO SAMUEL DAVID</v>
      </c>
      <c r="C28" s="6">
        <f>IFERROR(__xludf.DUMMYFUNCTION("""COMPUTED_VALUE"""),4.6)</f>
        <v>4.6</v>
      </c>
      <c r="D28" s="6">
        <f>IFERROR(__xludf.DUMMYFUNCTION("""COMPUTED_VALUE"""),4.1)</f>
        <v>4.1</v>
      </c>
      <c r="E28" s="6">
        <f>IFERROR(__xludf.DUMMYFUNCTION("""COMPUTED_VALUE"""),3.2)</f>
        <v>3.2</v>
      </c>
      <c r="F28" s="6">
        <f>IFERROR(__xludf.DUMMYFUNCTION("""COMPUTED_VALUE"""),3.5)</f>
        <v>3.5</v>
      </c>
      <c r="G28" s="6">
        <f>IFERROR(__xludf.DUMMYFUNCTION("""COMPUTED_VALUE"""),4.9)</f>
        <v>4.9</v>
      </c>
      <c r="H28" s="6">
        <f>IFERROR(__xludf.DUMMYFUNCTION("""COMPUTED_VALUE"""),4.0)</f>
        <v>4</v>
      </c>
      <c r="I28" s="6">
        <f>IFERROR(__xludf.DUMMYFUNCTION("""COMPUTED_VALUE"""),4.4)</f>
        <v>4.4</v>
      </c>
      <c r="J28" s="6">
        <f>IFERROR(__xludf.DUMMYFUNCTION("""COMPUTED_VALUE"""),5.0)</f>
        <v>5</v>
      </c>
      <c r="K28" s="6">
        <f>IFERROR(__xludf.DUMMYFUNCTION("""COMPUTED_VALUE"""),4.8)</f>
        <v>4.8</v>
      </c>
      <c r="L28" s="6">
        <f>IFERROR(__xludf.DUMMYFUNCTION("""COMPUTED_VALUE"""),4.4)</f>
        <v>4.4</v>
      </c>
      <c r="M28" s="6">
        <f>IFERROR(__xludf.DUMMYFUNCTION("""COMPUTED_VALUE"""),3.5)</f>
        <v>3.5</v>
      </c>
      <c r="N28" s="6">
        <f>IFERROR(__xludf.DUMMYFUNCTION("""COMPUTED_VALUE"""),4.6)</f>
        <v>4.6</v>
      </c>
      <c r="O28" s="6">
        <f>IFERROR(__xludf.DUMMYFUNCTION("""COMPUTED_VALUE"""),4.0)</f>
        <v>4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>
        <f>IFERROR(__xludf.DUMMYFUNCTION("""COMPUTED_VALUE"""),5.0)</f>
        <v>5</v>
      </c>
      <c r="S28" s="6">
        <f>IFERROR(__xludf.DUMMYFUNCTION("""COMPUTED_VALUE"""),5.0)</f>
        <v>5</v>
      </c>
      <c r="T28" s="6">
        <f>IFERROR(__xludf.DUMMYFUNCTION("""COMPUTED_VALUE"""),5.0)</f>
        <v>5</v>
      </c>
      <c r="U28" s="8">
        <f>IFERROR(__xludf.DUMMYFUNCTION("""COMPUTED_VALUE"""),3.975)</f>
        <v>3.975</v>
      </c>
      <c r="V28" s="12">
        <f>IFERROR(__xludf.DUMMYFUNCTION("""COMPUTED_VALUE"""),1.325)</f>
        <v>1.325</v>
      </c>
      <c r="W28" s="6"/>
      <c r="X28" s="6"/>
      <c r="Y28" s="6">
        <f>IFERROR(__xludf.DUMMYFUNCTION("""COMPUTED_VALUE"""),4.9)</f>
        <v>4.9</v>
      </c>
      <c r="Z28" s="6"/>
      <c r="AA28" s="6">
        <f>IFERROR(__xludf.DUMMYFUNCTION("""COMPUTED_VALUE"""),2261218.0)</f>
        <v>2261218</v>
      </c>
      <c r="AB28" s="6"/>
      <c r="AC28" s="6"/>
      <c r="AD28" s="6"/>
      <c r="AE28" s="6"/>
      <c r="AF28" s="6"/>
      <c r="AG28" s="6"/>
      <c r="AH28" s="6"/>
      <c r="AI28" s="6"/>
      <c r="AJ28" s="6"/>
      <c r="AK28" s="6"/>
    </row>
    <row r="29">
      <c r="A29" s="6">
        <f>IFERROR(__xludf.DUMMYFUNCTION("""COMPUTED_VALUE"""),28.0)</f>
        <v>28</v>
      </c>
      <c r="B29" s="5" t="str">
        <f>IFERROR(__xludf.DUMMYFUNCTION("""COMPUTED_VALUE"""),"PABON MORA JOEL")</f>
        <v>PABON MORA JOEL</v>
      </c>
      <c r="C29" s="6">
        <f>IFERROR(__xludf.DUMMYFUNCTION("""COMPUTED_VALUE"""),2.1)</f>
        <v>2.1</v>
      </c>
      <c r="D29" s="6">
        <f>IFERROR(__xludf.DUMMYFUNCTION("""COMPUTED_VALUE"""),3.0)</f>
        <v>3</v>
      </c>
      <c r="E29" s="6">
        <f>IFERROR(__xludf.DUMMYFUNCTION("""COMPUTED_VALUE"""),1.8)</f>
        <v>1.8</v>
      </c>
      <c r="F29" s="6">
        <f>IFERROR(__xludf.DUMMYFUNCTION("""COMPUTED_VALUE"""),5.0)</f>
        <v>5</v>
      </c>
      <c r="G29" s="6">
        <f>IFERROR(__xludf.DUMMYFUNCTION("""COMPUTED_VALUE"""),4.3)</f>
        <v>4.3</v>
      </c>
      <c r="H29" s="6">
        <f>IFERROR(__xludf.DUMMYFUNCTION("""COMPUTED_VALUE"""),3.2)</f>
        <v>3.2</v>
      </c>
      <c r="I29" s="6">
        <f>IFERROR(__xludf.DUMMYFUNCTION("""COMPUTED_VALUE"""),3.7)</f>
        <v>3.7</v>
      </c>
      <c r="J29" s="6">
        <f>IFERROR(__xludf.DUMMYFUNCTION("""COMPUTED_VALUE"""),2.0)</f>
        <v>2</v>
      </c>
      <c r="K29" s="6">
        <f>IFERROR(__xludf.DUMMYFUNCTION("""COMPUTED_VALUE"""),0.0)</f>
        <v>0</v>
      </c>
      <c r="L29" s="6">
        <f>IFERROR(__xludf.DUMMYFUNCTION("""COMPUTED_VALUE"""),0.0)</f>
        <v>0</v>
      </c>
      <c r="M29" s="6">
        <f>IFERROR(__xludf.DUMMYFUNCTION("""COMPUTED_VALUE"""),4.7)</f>
        <v>4.7</v>
      </c>
      <c r="N29" s="6">
        <f>IFERROR(__xludf.DUMMYFUNCTION("""COMPUTED_VALUE"""),3.0)</f>
        <v>3</v>
      </c>
      <c r="O29" s="6">
        <f>IFERROR(__xludf.DUMMYFUNCTION("""COMPUTED_VALUE"""),1.75)</f>
        <v>1.75</v>
      </c>
      <c r="P29" s="6">
        <f>IFERROR(__xludf.DUMMYFUNCTION("""COMPUTED_VALUE"""),4.67)</f>
        <v>4.67</v>
      </c>
      <c r="Q29" s="6">
        <f>IFERROR(__xludf.DUMMYFUNCTION("""COMPUTED_VALUE"""),5.0)</f>
        <v>5</v>
      </c>
      <c r="R29" s="6">
        <f>IFERROR(__xludf.DUMMYFUNCTION("""COMPUTED_VALUE"""),5.0)</f>
        <v>5</v>
      </c>
      <c r="S29" s="6">
        <f>IFERROR(__xludf.DUMMYFUNCTION("""COMPUTED_VALUE"""),5.0)</f>
        <v>5</v>
      </c>
      <c r="T29" s="6">
        <f>IFERROR(__xludf.DUMMYFUNCTION("""COMPUTED_VALUE"""),5.0)</f>
        <v>5</v>
      </c>
      <c r="U29" s="8">
        <f>IFERROR(__xludf.DUMMYFUNCTION("""COMPUTED_VALUE"""),3.115)</f>
        <v>3.115</v>
      </c>
      <c r="V29" s="12">
        <f>IFERROR(__xludf.DUMMYFUNCTION("""COMPUTED_VALUE"""),1.0383333333333333)</f>
        <v>1.038333333</v>
      </c>
      <c r="W29" s="6"/>
      <c r="X29" s="6"/>
      <c r="Y29" s="6">
        <f>IFERROR(__xludf.DUMMYFUNCTION("""COMPUTED_VALUE"""),4.3)</f>
        <v>4.3</v>
      </c>
      <c r="Z29" s="6"/>
      <c r="AA29" s="6">
        <f>IFERROR(__xludf.DUMMYFUNCTION("""COMPUTED_VALUE"""),2261915.0)</f>
        <v>2261915</v>
      </c>
      <c r="AB29" s="6"/>
      <c r="AC29" s="6"/>
      <c r="AD29" s="6"/>
      <c r="AE29" s="6"/>
      <c r="AF29" s="6"/>
      <c r="AG29" s="6"/>
      <c r="AH29" s="6"/>
      <c r="AI29" s="6"/>
      <c r="AJ29" s="6"/>
      <c r="AK29" s="6"/>
    </row>
    <row r="30">
      <c r="A30" s="6">
        <f>IFERROR(__xludf.DUMMYFUNCTION("""COMPUTED_VALUE"""),29.0)</f>
        <v>29</v>
      </c>
      <c r="B30" s="5" t="str">
        <f>IFERROR(__xludf.DUMMYFUNCTION("""COMPUTED_VALUE"""),"PAREDES OTERO CLAUDIA MILENA")</f>
        <v>PAREDES OTERO CLAUDIA MILENA</v>
      </c>
      <c r="C30" s="6">
        <f>IFERROR(__xludf.DUMMYFUNCTION("""COMPUTED_VALUE"""),3.0)</f>
        <v>3</v>
      </c>
      <c r="D30" s="6">
        <f>IFERROR(__xludf.DUMMYFUNCTION("""COMPUTED_VALUE"""),3.0)</f>
        <v>3</v>
      </c>
      <c r="E30" s="6">
        <f>IFERROR(__xludf.DUMMYFUNCTION("""COMPUTED_VALUE"""),2.4)</f>
        <v>2.4</v>
      </c>
      <c r="F30" s="6">
        <f>IFERROR(__xludf.DUMMYFUNCTION("""COMPUTED_VALUE"""),0.5)</f>
        <v>0.5</v>
      </c>
      <c r="G30" s="6">
        <f>IFERROR(__xludf.DUMMYFUNCTION("""COMPUTED_VALUE"""),4.9)</f>
        <v>4.9</v>
      </c>
      <c r="H30" s="6">
        <f>IFERROR(__xludf.DUMMYFUNCTION("""COMPUTED_VALUE"""),4.0)</f>
        <v>4</v>
      </c>
      <c r="I30" s="6">
        <f>IFERROR(__xludf.DUMMYFUNCTION("""COMPUTED_VALUE"""),4.4)</f>
        <v>4.4</v>
      </c>
      <c r="J30" s="6"/>
      <c r="K30" s="6"/>
      <c r="L30" s="6"/>
      <c r="M30" s="6"/>
      <c r="N30" s="6"/>
      <c r="O30" s="6">
        <f>IFERROR(__xludf.DUMMYFUNCTION("""COMPUTED_VALUE"""),5.0)</f>
        <v>5</v>
      </c>
      <c r="P30" s="6">
        <f>IFERROR(__xludf.DUMMYFUNCTION("""COMPUTED_VALUE"""),4.66)</f>
        <v>4.66</v>
      </c>
      <c r="Q30" s="6">
        <f>IFERROR(__xludf.DUMMYFUNCTION("""COMPUTED_VALUE"""),5.0)</f>
        <v>5</v>
      </c>
      <c r="R30" s="6">
        <f>IFERROR(__xludf.DUMMYFUNCTION("""COMPUTED_VALUE"""),5.0)</f>
        <v>5</v>
      </c>
      <c r="S30" s="6">
        <f>IFERROR(__xludf.DUMMYFUNCTION("""COMPUTED_VALUE"""),5.0)</f>
        <v>5</v>
      </c>
      <c r="T30" s="6"/>
      <c r="U30" s="8">
        <f>IFERROR(__xludf.DUMMYFUNCTION("""COMPUTED_VALUE"""),2.635)</f>
        <v>2.635</v>
      </c>
      <c r="V30" s="12">
        <f>IFERROR(__xludf.DUMMYFUNCTION("""COMPUTED_VALUE"""),0.8783333333333333)</f>
        <v>0.8783333333</v>
      </c>
      <c r="W30" s="6"/>
      <c r="X30" s="6"/>
      <c r="Y30" s="6">
        <f>IFERROR(__xludf.DUMMYFUNCTION("""COMPUTED_VALUE"""),4.9)</f>
        <v>4.9</v>
      </c>
      <c r="Z30" s="6"/>
      <c r="AA30" s="6">
        <f>IFERROR(__xludf.DUMMYFUNCTION("""COMPUTED_VALUE"""),2202217.0)</f>
        <v>2202217</v>
      </c>
      <c r="AB30" s="6"/>
      <c r="AC30" s="6"/>
      <c r="AD30" s="6"/>
      <c r="AE30" s="6"/>
      <c r="AF30" s="6"/>
      <c r="AG30" s="6"/>
      <c r="AH30" s="6"/>
      <c r="AI30" s="6"/>
      <c r="AJ30" s="6"/>
      <c r="AK30" s="6"/>
    </row>
    <row r="31">
      <c r="A31" s="6">
        <f>IFERROR(__xludf.DUMMYFUNCTION("""COMPUTED_VALUE"""),30.0)</f>
        <v>30</v>
      </c>
      <c r="B31" s="5" t="str">
        <f>IFERROR(__xludf.DUMMYFUNCTION("""COMPUTED_VALUE"""),"PARRA MEDINA ANDRES YESID")</f>
        <v>PARRA MEDINA ANDRES YESID</v>
      </c>
      <c r="C31" s="6">
        <f>IFERROR(__xludf.DUMMYFUNCTION("""COMPUTED_VALUE"""),4.5)</f>
        <v>4.5</v>
      </c>
      <c r="D31" s="6">
        <f>IFERROR(__xludf.DUMMYFUNCTION("""COMPUTED_VALUE"""),3.0)</f>
        <v>3</v>
      </c>
      <c r="E31" s="6">
        <f>IFERROR(__xludf.DUMMYFUNCTION("""COMPUTED_VALUE"""),2.2)</f>
        <v>2.2</v>
      </c>
      <c r="F31" s="6">
        <f>IFERROR(__xludf.DUMMYFUNCTION("""COMPUTED_VALUE"""),4.0)</f>
        <v>4</v>
      </c>
      <c r="G31" s="6">
        <f>IFERROR(__xludf.DUMMYFUNCTION("""COMPUTED_VALUE"""),5.0)</f>
        <v>5</v>
      </c>
      <c r="H31" s="6">
        <f>IFERROR(__xludf.DUMMYFUNCTION("""COMPUTED_VALUE"""),3.8)</f>
        <v>3.8</v>
      </c>
      <c r="I31" s="6">
        <f>IFERROR(__xludf.DUMMYFUNCTION("""COMPUTED_VALUE"""),4.4)</f>
        <v>4.4</v>
      </c>
      <c r="J31" s="6">
        <f>IFERROR(__xludf.DUMMYFUNCTION("""COMPUTED_VALUE"""),5.0)</f>
        <v>5</v>
      </c>
      <c r="K31" s="6">
        <f>IFERROR(__xludf.DUMMYFUNCTION("""COMPUTED_VALUE"""),5.0)</f>
        <v>5</v>
      </c>
      <c r="L31" s="6">
        <f>IFERROR(__xludf.DUMMYFUNCTION("""COMPUTED_VALUE"""),4.7)</f>
        <v>4.7</v>
      </c>
      <c r="M31" s="6">
        <f>IFERROR(__xludf.DUMMYFUNCTION("""COMPUTED_VALUE"""),5.0)</f>
        <v>5</v>
      </c>
      <c r="N31" s="6">
        <f>IFERROR(__xludf.DUMMYFUNCTION("""COMPUTED_VALUE"""),4.6)</f>
        <v>4.6</v>
      </c>
      <c r="O31" s="6">
        <f>IFERROR(__xludf.DUMMYFUNCTION("""COMPUTED_VALUE"""),4.13)</f>
        <v>4.13</v>
      </c>
      <c r="P31" s="6">
        <f>IFERROR(__xludf.DUMMYFUNCTION("""COMPUTED_VALUE"""),4.66)</f>
        <v>4.66</v>
      </c>
      <c r="Q31" s="6">
        <f>IFERROR(__xludf.DUMMYFUNCTION("""COMPUTED_VALUE"""),5.0)</f>
        <v>5</v>
      </c>
      <c r="R31" s="6">
        <f>IFERROR(__xludf.DUMMYFUNCTION("""COMPUTED_VALUE"""),5.0)</f>
        <v>5</v>
      </c>
      <c r="S31" s="6">
        <f>IFERROR(__xludf.DUMMYFUNCTION("""COMPUTED_VALUE"""),5.0)</f>
        <v>5</v>
      </c>
      <c r="T31" s="6">
        <f>IFERROR(__xludf.DUMMYFUNCTION("""COMPUTED_VALUE"""),5.0)</f>
        <v>5</v>
      </c>
      <c r="U31" s="8">
        <f>IFERROR(__xludf.DUMMYFUNCTION("""COMPUTED_VALUE"""),3.6000000000000005)</f>
        <v>3.6</v>
      </c>
      <c r="V31" s="12">
        <f>IFERROR(__xludf.DUMMYFUNCTION("""COMPUTED_VALUE"""),1.2000000000000002)</f>
        <v>1.2</v>
      </c>
      <c r="W31" s="6"/>
      <c r="X31" s="6"/>
      <c r="Y31" s="6">
        <f>IFERROR(__xludf.DUMMYFUNCTION("""COMPUTED_VALUE"""),5.0)</f>
        <v>5</v>
      </c>
      <c r="Z31" s="6"/>
      <c r="AA31" s="6">
        <f>IFERROR(__xludf.DUMMYFUNCTION("""COMPUTED_VALUE"""),2261881.0)</f>
        <v>2261881</v>
      </c>
      <c r="AB31" s="6"/>
      <c r="AC31" s="6"/>
      <c r="AD31" s="6"/>
      <c r="AE31" s="6"/>
      <c r="AF31" s="6"/>
      <c r="AG31" s="6"/>
      <c r="AH31" s="6"/>
      <c r="AI31" s="6"/>
      <c r="AJ31" s="6"/>
      <c r="AK31" s="6"/>
    </row>
    <row r="32">
      <c r="A32" s="6">
        <f>IFERROR(__xludf.DUMMYFUNCTION("""COMPUTED_VALUE"""),31.0)</f>
        <v>31</v>
      </c>
      <c r="B32" s="5" t="str">
        <f>IFERROR(__xludf.DUMMYFUNCTION("""COMPUTED_VALUE"""),"PEREZ MORA NICOLAS MANUEL")</f>
        <v>PEREZ MORA NICOLAS MANUEL</v>
      </c>
      <c r="C32" s="6">
        <f>IFERROR(__xludf.DUMMYFUNCTION("""COMPUTED_VALUE"""),2.1)</f>
        <v>2.1</v>
      </c>
      <c r="D32" s="6">
        <f>IFERROR(__xludf.DUMMYFUNCTION("""COMPUTED_VALUE"""),2.5)</f>
        <v>2.5</v>
      </c>
      <c r="E32" s="6">
        <f>IFERROR(__xludf.DUMMYFUNCTION("""COMPUTED_VALUE"""),1.0)</f>
        <v>1</v>
      </c>
      <c r="F32" s="6">
        <f>IFERROR(__xludf.DUMMYFUNCTION("""COMPUTED_VALUE"""),1.4)</f>
        <v>1.4</v>
      </c>
      <c r="G32" s="6">
        <f>IFERROR(__xludf.DUMMYFUNCTION("""COMPUTED_VALUE"""),2.0)</f>
        <v>2</v>
      </c>
      <c r="H32" s="6">
        <f>IFERROR(__xludf.DUMMYFUNCTION("""COMPUTED_VALUE"""),2.8)</f>
        <v>2.8</v>
      </c>
      <c r="I32" s="6">
        <f>IFERROR(__xludf.DUMMYFUNCTION("""COMPUTED_VALUE"""),2.0)</f>
        <v>2</v>
      </c>
      <c r="J32" s="6">
        <f>IFERROR(__xludf.DUMMYFUNCTION("""COMPUTED_VALUE"""),3.6)</f>
        <v>3.6</v>
      </c>
      <c r="K32" s="6">
        <f>IFERROR(__xludf.DUMMYFUNCTION("""COMPUTED_VALUE"""),0.0)</f>
        <v>0</v>
      </c>
      <c r="L32" s="6">
        <f>IFERROR(__xludf.DUMMYFUNCTION("""COMPUTED_VALUE"""),0.0)</f>
        <v>0</v>
      </c>
      <c r="M32" s="6">
        <f>IFERROR(__xludf.DUMMYFUNCTION("""COMPUTED_VALUE"""),0.0)</f>
        <v>0</v>
      </c>
      <c r="N32" s="6">
        <f>IFERROR(__xludf.DUMMYFUNCTION("""COMPUTED_VALUE"""),0.0)</f>
        <v>0</v>
      </c>
      <c r="O32" s="6">
        <f>IFERROR(__xludf.DUMMYFUNCTION("""COMPUTED_VALUE"""),5.0)</f>
        <v>5</v>
      </c>
      <c r="P32" s="6">
        <f>IFERROR(__xludf.DUMMYFUNCTION("""COMPUTED_VALUE"""),0.0)</f>
        <v>0</v>
      </c>
      <c r="Q32" s="6">
        <f>IFERROR(__xludf.DUMMYFUNCTION("""COMPUTED_VALUE"""),0.0)</f>
        <v>0</v>
      </c>
      <c r="R32" s="6">
        <f>IFERROR(__xludf.DUMMYFUNCTION("""COMPUTED_VALUE"""),0.0)</f>
        <v>0</v>
      </c>
      <c r="S32" s="6">
        <f>IFERROR(__xludf.DUMMYFUNCTION("""COMPUTED_VALUE"""),0.0)</f>
        <v>0</v>
      </c>
      <c r="T32" s="6">
        <f>IFERROR(__xludf.DUMMYFUNCTION("""COMPUTED_VALUE"""),0.0)</f>
        <v>0</v>
      </c>
      <c r="U32" s="8">
        <f>IFERROR(__xludf.DUMMYFUNCTION("""COMPUTED_VALUE"""),1.7500000000000002)</f>
        <v>1.75</v>
      </c>
      <c r="V32" s="12">
        <f>IFERROR(__xludf.DUMMYFUNCTION("""COMPUTED_VALUE"""),0.5833333333333334)</f>
        <v>0.5833333333</v>
      </c>
      <c r="W32" s="6"/>
      <c r="X32" s="6"/>
      <c r="Y32" s="6">
        <f>IFERROR(__xludf.DUMMYFUNCTION("""COMPUTED_VALUE"""),1.1)</f>
        <v>1.1</v>
      </c>
      <c r="Z32" s="6"/>
      <c r="AA32" s="6">
        <f>IFERROR(__xludf.DUMMYFUNCTION("""COMPUTED_VALUE"""),2262036.0)</f>
        <v>2262036</v>
      </c>
      <c r="AB32" s="6"/>
      <c r="AC32" s="6"/>
      <c r="AD32" s="6"/>
      <c r="AE32" s="6"/>
      <c r="AF32" s="6"/>
      <c r="AG32" s="6"/>
      <c r="AH32" s="6"/>
      <c r="AI32" s="6"/>
      <c r="AJ32" s="6"/>
      <c r="AK32" s="6"/>
    </row>
    <row r="33">
      <c r="A33" s="6">
        <f>IFERROR(__xludf.DUMMYFUNCTION("""COMPUTED_VALUE"""),32.0)</f>
        <v>32</v>
      </c>
      <c r="B33" s="5" t="str">
        <f>IFERROR(__xludf.DUMMYFUNCTION("""COMPUTED_VALUE"""),"PLAZAS RODRIGUEZ ANA SOFIA")</f>
        <v>PLAZAS RODRIGUEZ ANA SOFIA</v>
      </c>
      <c r="C33" s="6">
        <f>IFERROR(__xludf.DUMMYFUNCTION("""COMPUTED_VALUE"""),3.8)</f>
        <v>3.8</v>
      </c>
      <c r="D33" s="6">
        <f>IFERROR(__xludf.DUMMYFUNCTION("""COMPUTED_VALUE"""),3.3)</f>
        <v>3.3</v>
      </c>
      <c r="E33" s="6">
        <f>IFERROR(__xludf.DUMMYFUNCTION("""COMPUTED_VALUE"""),2.4)</f>
        <v>2.4</v>
      </c>
      <c r="F33" s="6">
        <f>IFERROR(__xludf.DUMMYFUNCTION("""COMPUTED_VALUE"""),3.5)</f>
        <v>3.5</v>
      </c>
      <c r="G33" s="6">
        <f>IFERROR(__xludf.DUMMYFUNCTION("""COMPUTED_VALUE"""),4.9)</f>
        <v>4.9</v>
      </c>
      <c r="H33" s="6">
        <f>IFERROR(__xludf.DUMMYFUNCTION("""COMPUTED_VALUE"""),5.0)</f>
        <v>5</v>
      </c>
      <c r="I33" s="6">
        <f>IFERROR(__xludf.DUMMYFUNCTION("""COMPUTED_VALUE"""),4.9)</f>
        <v>4.9</v>
      </c>
      <c r="J33" s="6">
        <f>IFERROR(__xludf.DUMMYFUNCTION("""COMPUTED_VALUE"""),1.5)</f>
        <v>1.5</v>
      </c>
      <c r="K33" s="6">
        <f>IFERROR(__xludf.DUMMYFUNCTION("""COMPUTED_VALUE"""),4.2)</f>
        <v>4.2</v>
      </c>
      <c r="L33" s="6">
        <f>IFERROR(__xludf.DUMMYFUNCTION("""COMPUTED_VALUE"""),4.7)</f>
        <v>4.7</v>
      </c>
      <c r="M33" s="6">
        <f>IFERROR(__xludf.DUMMYFUNCTION("""COMPUTED_VALUE"""),4.1)</f>
        <v>4.1</v>
      </c>
      <c r="N33" s="6">
        <f>IFERROR(__xludf.DUMMYFUNCTION("""COMPUTED_VALUE"""),5.0)</f>
        <v>5</v>
      </c>
      <c r="O33" s="6">
        <f>IFERROR(__xludf.DUMMYFUNCTION("""COMPUTED_VALUE"""),3.88)</f>
        <v>3.88</v>
      </c>
      <c r="P33" s="6">
        <f>IFERROR(__xludf.DUMMYFUNCTION("""COMPUTED_VALUE"""),4.67)</f>
        <v>4.67</v>
      </c>
      <c r="Q33" s="6">
        <f>IFERROR(__xludf.DUMMYFUNCTION("""COMPUTED_VALUE"""),5.0)</f>
        <v>5</v>
      </c>
      <c r="R33" s="6">
        <f>IFERROR(__xludf.DUMMYFUNCTION("""COMPUTED_VALUE"""),5.0)</f>
        <v>5</v>
      </c>
      <c r="S33" s="6">
        <f>IFERROR(__xludf.DUMMYFUNCTION("""COMPUTED_VALUE"""),5.0)</f>
        <v>5</v>
      </c>
      <c r="T33" s="6">
        <f>IFERROR(__xludf.DUMMYFUNCTION("""COMPUTED_VALUE"""),5.0)</f>
        <v>5</v>
      </c>
      <c r="U33" s="8">
        <f>IFERROR(__xludf.DUMMYFUNCTION("""COMPUTED_VALUE"""),3.455)</f>
        <v>3.455</v>
      </c>
      <c r="V33" s="12">
        <f>IFERROR(__xludf.DUMMYFUNCTION("""COMPUTED_VALUE"""),1.1516666666666666)</f>
        <v>1.151666667</v>
      </c>
      <c r="W33" s="6"/>
      <c r="X33" s="6"/>
      <c r="Y33" s="6">
        <f>IFERROR(__xludf.DUMMYFUNCTION("""COMPUTED_VALUE"""),4.8)</f>
        <v>4.8</v>
      </c>
      <c r="Z33" s="6"/>
      <c r="AA33" s="6">
        <f>IFERROR(__xludf.DUMMYFUNCTION("""COMPUTED_VALUE"""),2262165.0)</f>
        <v>2262165</v>
      </c>
      <c r="AB33" s="6"/>
      <c r="AC33" s="6"/>
      <c r="AD33" s="6"/>
      <c r="AE33" s="6"/>
      <c r="AF33" s="6"/>
      <c r="AG33" s="6"/>
      <c r="AH33" s="6"/>
      <c r="AI33" s="6"/>
      <c r="AJ33" s="6"/>
      <c r="AK33" s="6"/>
    </row>
    <row r="34">
      <c r="A34" s="6">
        <f>IFERROR(__xludf.DUMMYFUNCTION("""COMPUTED_VALUE"""),33.0)</f>
        <v>33</v>
      </c>
      <c r="B34" s="5" t="str">
        <f>IFERROR(__xludf.DUMMYFUNCTION("""COMPUTED_VALUE"""),"SANDOVAL SUAREZ JULIAN DAVID")</f>
        <v>SANDOVAL SUAREZ JULIAN DAVID</v>
      </c>
      <c r="C34" s="6">
        <f>IFERROR(__xludf.DUMMYFUNCTION("""COMPUTED_VALUE"""),4.8)</f>
        <v>4.8</v>
      </c>
      <c r="D34" s="6">
        <f>IFERROR(__xludf.DUMMYFUNCTION("""COMPUTED_VALUE"""),4.5)</f>
        <v>4.5</v>
      </c>
      <c r="E34" s="6">
        <f>IFERROR(__xludf.DUMMYFUNCTION("""COMPUTED_VALUE"""),3.0)</f>
        <v>3</v>
      </c>
      <c r="F34" s="6">
        <f>IFERROR(__xludf.DUMMYFUNCTION("""COMPUTED_VALUE"""),5.0)</f>
        <v>5</v>
      </c>
      <c r="G34" s="6">
        <f>IFERROR(__xludf.DUMMYFUNCTION("""COMPUTED_VALUE"""),5.0)</f>
        <v>5</v>
      </c>
      <c r="H34" s="6">
        <f>IFERROR(__xludf.DUMMYFUNCTION("""COMPUTED_VALUE"""),5.0)</f>
        <v>5</v>
      </c>
      <c r="I34" s="6">
        <f>IFERROR(__xludf.DUMMYFUNCTION("""COMPUTED_VALUE"""),5.0)</f>
        <v>5</v>
      </c>
      <c r="J34" s="6">
        <f>IFERROR(__xludf.DUMMYFUNCTION("""COMPUTED_VALUE"""),5.0)</f>
        <v>5</v>
      </c>
      <c r="K34" s="6">
        <f>IFERROR(__xludf.DUMMYFUNCTION("""COMPUTED_VALUE"""),4.8)</f>
        <v>4.8</v>
      </c>
      <c r="L34" s="6">
        <f>IFERROR(__xludf.DUMMYFUNCTION("""COMPUTED_VALUE"""),4.7)</f>
        <v>4.7</v>
      </c>
      <c r="M34" s="6">
        <f>IFERROR(__xludf.DUMMYFUNCTION("""COMPUTED_VALUE"""),4.7)</f>
        <v>4.7</v>
      </c>
      <c r="N34" s="6">
        <f>IFERROR(__xludf.DUMMYFUNCTION("""COMPUTED_VALUE"""),4.6)</f>
        <v>4.6</v>
      </c>
      <c r="O34" s="6">
        <f>IFERROR(__xludf.DUMMYFUNCTION("""COMPUTED_VALUE"""),4.88)</f>
        <v>4.88</v>
      </c>
      <c r="P34" s="6">
        <f>IFERROR(__xludf.DUMMYFUNCTION("""COMPUTED_VALUE"""),5.0)</f>
        <v>5</v>
      </c>
      <c r="Q34" s="6">
        <f>IFERROR(__xludf.DUMMYFUNCTION("""COMPUTED_VALUE"""),5.0)</f>
        <v>5</v>
      </c>
      <c r="R34" s="6">
        <f>IFERROR(__xludf.DUMMYFUNCTION("""COMPUTED_VALUE"""),5.0)</f>
        <v>5</v>
      </c>
      <c r="S34" s="6">
        <f>IFERROR(__xludf.DUMMYFUNCTION("""COMPUTED_VALUE"""),5.0)</f>
        <v>5</v>
      </c>
      <c r="T34" s="6">
        <f>IFERROR(__xludf.DUMMYFUNCTION("""COMPUTED_VALUE"""),5.0)</f>
        <v>5</v>
      </c>
      <c r="U34" s="8">
        <f>IFERROR(__xludf.DUMMYFUNCTION("""COMPUTED_VALUE"""),4.36)</f>
        <v>4.36</v>
      </c>
      <c r="V34" s="12">
        <f>IFERROR(__xludf.DUMMYFUNCTION("""COMPUTED_VALUE"""),1.4533333333333334)</f>
        <v>1.453333333</v>
      </c>
      <c r="W34" s="6"/>
      <c r="X34" s="6"/>
      <c r="Y34" s="6">
        <f>IFERROR(__xludf.DUMMYFUNCTION("""COMPUTED_VALUE"""),5.0)</f>
        <v>5</v>
      </c>
      <c r="Z34" s="6"/>
      <c r="AA34" s="6">
        <f>IFERROR(__xludf.DUMMYFUNCTION("""COMPUTED_VALUE"""),2262141.0)</f>
        <v>2262141</v>
      </c>
      <c r="AB34" s="6"/>
      <c r="AC34" s="6"/>
      <c r="AD34" s="6"/>
      <c r="AE34" s="6"/>
      <c r="AF34" s="6"/>
      <c r="AG34" s="6"/>
      <c r="AH34" s="6"/>
      <c r="AI34" s="6"/>
      <c r="AJ34" s="6"/>
      <c r="AK34" s="6"/>
    </row>
    <row r="35">
      <c r="A35" s="6">
        <f>IFERROR(__xludf.DUMMYFUNCTION("""COMPUTED_VALUE"""),34.0)</f>
        <v>34</v>
      </c>
      <c r="B35" s="5" t="str">
        <f>IFERROR(__xludf.DUMMYFUNCTION("""COMPUTED_VALUE"""),"SANTOS RONDON ANGEL DAVID")</f>
        <v>SANTOS RONDON ANGEL DAVID</v>
      </c>
      <c r="C35" s="6">
        <f>IFERROR(__xludf.DUMMYFUNCTION("""COMPUTED_VALUE"""),2.5)</f>
        <v>2.5</v>
      </c>
      <c r="D35" s="6">
        <f>IFERROR(__xludf.DUMMYFUNCTION("""COMPUTED_VALUE"""),3.6)</f>
        <v>3.6</v>
      </c>
      <c r="E35" s="6">
        <f>IFERROR(__xludf.DUMMYFUNCTION("""COMPUTED_VALUE"""),2.9)</f>
        <v>2.9</v>
      </c>
      <c r="F35" s="6">
        <f>IFERROR(__xludf.DUMMYFUNCTION("""COMPUTED_VALUE"""),3.4)</f>
        <v>3.4</v>
      </c>
      <c r="G35" s="6">
        <f>IFERROR(__xludf.DUMMYFUNCTION("""COMPUTED_VALUE"""),4.9)</f>
        <v>4.9</v>
      </c>
      <c r="H35" s="6">
        <f>IFERROR(__xludf.DUMMYFUNCTION("""COMPUTED_VALUE"""),5.0)</f>
        <v>5</v>
      </c>
      <c r="I35" s="6">
        <f>IFERROR(__xludf.DUMMYFUNCTION("""COMPUTED_VALUE"""),4.9)</f>
        <v>4.9</v>
      </c>
      <c r="J35" s="6">
        <f>IFERROR(__xludf.DUMMYFUNCTION("""COMPUTED_VALUE"""),2.0)</f>
        <v>2</v>
      </c>
      <c r="K35" s="6">
        <f>IFERROR(__xludf.DUMMYFUNCTION("""COMPUTED_VALUE"""),4.8)</f>
        <v>4.8</v>
      </c>
      <c r="L35" s="6">
        <f>IFERROR(__xludf.DUMMYFUNCTION("""COMPUTED_VALUE"""),4.4)</f>
        <v>4.4</v>
      </c>
      <c r="M35" s="6">
        <f>IFERROR(__xludf.DUMMYFUNCTION("""COMPUTED_VALUE"""),2.7)</f>
        <v>2.7</v>
      </c>
      <c r="N35" s="6">
        <f>IFERROR(__xludf.DUMMYFUNCTION("""COMPUTED_VALUE"""),3.6)</f>
        <v>3.6</v>
      </c>
      <c r="O35" s="6">
        <f>IFERROR(__xludf.DUMMYFUNCTION("""COMPUTED_VALUE"""),4.75)</f>
        <v>4.75</v>
      </c>
      <c r="P35" s="6">
        <f>IFERROR(__xludf.DUMMYFUNCTION("""COMPUTED_VALUE"""),4.0)</f>
        <v>4</v>
      </c>
      <c r="Q35" s="6">
        <f>IFERROR(__xludf.DUMMYFUNCTION("""COMPUTED_VALUE"""),5.0)</f>
        <v>5</v>
      </c>
      <c r="R35" s="6">
        <f>IFERROR(__xludf.DUMMYFUNCTION("""COMPUTED_VALUE"""),5.0)</f>
        <v>5</v>
      </c>
      <c r="S35" s="6">
        <f>IFERROR(__xludf.DUMMYFUNCTION("""COMPUTED_VALUE"""),5.0)</f>
        <v>5</v>
      </c>
      <c r="T35" s="6">
        <f>IFERROR(__xludf.DUMMYFUNCTION("""COMPUTED_VALUE"""),5.0)</f>
        <v>5</v>
      </c>
      <c r="U35" s="8">
        <f>IFERROR(__xludf.DUMMYFUNCTION("""COMPUTED_VALUE"""),3.36)</f>
        <v>3.36</v>
      </c>
      <c r="V35" s="12">
        <f>IFERROR(__xludf.DUMMYFUNCTION("""COMPUTED_VALUE"""),1.1199999999999999)</f>
        <v>1.12</v>
      </c>
      <c r="W35" s="6"/>
      <c r="X35" s="6"/>
      <c r="Y35" s="6">
        <f>IFERROR(__xludf.DUMMYFUNCTION("""COMPUTED_VALUE"""),4.7)</f>
        <v>4.7</v>
      </c>
      <c r="Z35" s="6"/>
      <c r="AA35" s="6">
        <f>IFERROR(__xludf.DUMMYFUNCTION("""COMPUTED_VALUE"""),2262202.0)</f>
        <v>2262202</v>
      </c>
      <c r="AB35" s="6"/>
      <c r="AC35" s="6"/>
      <c r="AD35" s="6"/>
      <c r="AE35" s="6"/>
      <c r="AF35" s="6"/>
      <c r="AG35" s="6"/>
      <c r="AH35" s="6"/>
      <c r="AI35" s="6"/>
      <c r="AJ35" s="6"/>
      <c r="AK35" s="6"/>
    </row>
    <row r="36">
      <c r="A36" s="6">
        <f>IFERROR(__xludf.DUMMYFUNCTION("""COMPUTED_VALUE"""),35.0)</f>
        <v>35</v>
      </c>
      <c r="B36" s="5" t="str">
        <f>IFERROR(__xludf.DUMMYFUNCTION("""COMPUTED_VALUE"""),"SORACA MARIN JUAN DIEGO")</f>
        <v>SORACA MARIN JUAN DIEGO</v>
      </c>
      <c r="C36" s="6">
        <f>IFERROR(__xludf.DUMMYFUNCTION("""COMPUTED_VALUE"""),4.0)</f>
        <v>4</v>
      </c>
      <c r="D36" s="6">
        <f>IFERROR(__xludf.DUMMYFUNCTION("""COMPUTED_VALUE"""),3.9)</f>
        <v>3.9</v>
      </c>
      <c r="E36" s="6">
        <f>IFERROR(__xludf.DUMMYFUNCTION("""COMPUTED_VALUE"""),2.4)</f>
        <v>2.4</v>
      </c>
      <c r="F36" s="6">
        <f>IFERROR(__xludf.DUMMYFUNCTION("""COMPUTED_VALUE"""),2.0)</f>
        <v>2</v>
      </c>
      <c r="G36" s="6">
        <f>IFERROR(__xludf.DUMMYFUNCTION("""COMPUTED_VALUE"""),4.9)</f>
        <v>4.9</v>
      </c>
      <c r="H36" s="6">
        <f>IFERROR(__xludf.DUMMYFUNCTION("""COMPUTED_VALUE"""),4.0)</f>
        <v>4</v>
      </c>
      <c r="I36" s="6">
        <f>IFERROR(__xludf.DUMMYFUNCTION("""COMPUTED_VALUE"""),4.4)</f>
        <v>4.4</v>
      </c>
      <c r="J36" s="6">
        <f>IFERROR(__xludf.DUMMYFUNCTION("""COMPUTED_VALUE"""),5.0)</f>
        <v>5</v>
      </c>
      <c r="K36" s="6">
        <f>IFERROR(__xludf.DUMMYFUNCTION("""COMPUTED_VALUE"""),4.6)</f>
        <v>4.6</v>
      </c>
      <c r="L36" s="6">
        <f>IFERROR(__xludf.DUMMYFUNCTION("""COMPUTED_VALUE"""),5.0)</f>
        <v>5</v>
      </c>
      <c r="M36" s="6">
        <f>IFERROR(__xludf.DUMMYFUNCTION("""COMPUTED_VALUE"""),2.7)</f>
        <v>2.7</v>
      </c>
      <c r="N36" s="6">
        <f>IFERROR(__xludf.DUMMYFUNCTION("""COMPUTED_VALUE"""),3.6)</f>
        <v>3.6</v>
      </c>
      <c r="O36" s="6">
        <f>IFERROR(__xludf.DUMMYFUNCTION("""COMPUTED_VALUE"""),5.0)</f>
        <v>5</v>
      </c>
      <c r="P36" s="6">
        <f>IFERROR(__xludf.DUMMYFUNCTION("""COMPUTED_VALUE"""),4.66)</f>
        <v>4.66</v>
      </c>
      <c r="Q36" s="6">
        <f>IFERROR(__xludf.DUMMYFUNCTION("""COMPUTED_VALUE"""),5.0)</f>
        <v>5</v>
      </c>
      <c r="R36" s="6">
        <f>IFERROR(__xludf.DUMMYFUNCTION("""COMPUTED_VALUE"""),5.0)</f>
        <v>5</v>
      </c>
      <c r="S36" s="6">
        <f>IFERROR(__xludf.DUMMYFUNCTION("""COMPUTED_VALUE"""),5.0)</f>
        <v>5</v>
      </c>
      <c r="T36" s="6">
        <f>IFERROR(__xludf.DUMMYFUNCTION("""COMPUTED_VALUE"""),0.0)</f>
        <v>0</v>
      </c>
      <c r="U36" s="8">
        <f>IFERROR(__xludf.DUMMYFUNCTION("""COMPUTED_VALUE"""),3.315)</f>
        <v>3.315</v>
      </c>
      <c r="V36" s="12">
        <f>IFERROR(__xludf.DUMMYFUNCTION("""COMPUTED_VALUE"""),1.105)</f>
        <v>1.105</v>
      </c>
      <c r="W36" s="6"/>
      <c r="X36" s="6"/>
      <c r="Y36" s="6">
        <f>IFERROR(__xludf.DUMMYFUNCTION("""COMPUTED_VALUE"""),4.9)</f>
        <v>4.9</v>
      </c>
      <c r="Z36" s="6"/>
      <c r="AA36" s="6">
        <f>IFERROR(__xludf.DUMMYFUNCTION("""COMPUTED_VALUE"""),2262161.0)</f>
        <v>2262161</v>
      </c>
      <c r="AB36" s="6"/>
      <c r="AC36" s="6"/>
      <c r="AD36" s="6"/>
      <c r="AE36" s="6"/>
      <c r="AF36" s="6"/>
      <c r="AG36" s="6"/>
      <c r="AH36" s="6"/>
      <c r="AI36" s="6"/>
      <c r="AJ36" s="6"/>
      <c r="AK36" s="6"/>
    </row>
    <row r="37">
      <c r="A37" s="6">
        <f>IFERROR(__xludf.DUMMYFUNCTION("""COMPUTED_VALUE"""),36.0)</f>
        <v>36</v>
      </c>
      <c r="B37" s="5" t="str">
        <f>IFERROR(__xludf.DUMMYFUNCTION("""COMPUTED_VALUE"""),"VELASCO CADENA ZHARICK LORAINE")</f>
        <v>VELASCO CADENA ZHARICK LORAINE</v>
      </c>
      <c r="C37" s="6">
        <f>IFERROR(__xludf.DUMMYFUNCTION("""COMPUTED_VALUE"""),2.5)</f>
        <v>2.5</v>
      </c>
      <c r="D37" s="6">
        <f>IFERROR(__xludf.DUMMYFUNCTION("""COMPUTED_VALUE"""),1.5)</f>
        <v>1.5</v>
      </c>
      <c r="E37" s="6">
        <f>IFERROR(__xludf.DUMMYFUNCTION("""COMPUTED_VALUE"""),2.6)</f>
        <v>2.6</v>
      </c>
      <c r="F37" s="6">
        <f>IFERROR(__xludf.DUMMYFUNCTION("""COMPUTED_VALUE"""),3.7)</f>
        <v>3.7</v>
      </c>
      <c r="G37" s="6">
        <f>IFERROR(__xludf.DUMMYFUNCTION("""COMPUTED_VALUE"""),4.6)</f>
        <v>4.6</v>
      </c>
      <c r="H37" s="6">
        <f>IFERROR(__xludf.DUMMYFUNCTION("""COMPUTED_VALUE"""),4.6)</f>
        <v>4.6</v>
      </c>
      <c r="I37" s="6">
        <f>IFERROR(__xludf.DUMMYFUNCTION("""COMPUTED_VALUE"""),4.6)</f>
        <v>4.6</v>
      </c>
      <c r="J37" s="6">
        <f>IFERROR(__xludf.DUMMYFUNCTION("""COMPUTED_VALUE"""),5.0)</f>
        <v>5</v>
      </c>
      <c r="K37" s="6">
        <f>IFERROR(__xludf.DUMMYFUNCTION("""COMPUTED_VALUE"""),3.8)</f>
        <v>3.8</v>
      </c>
      <c r="L37" s="6">
        <f>IFERROR(__xludf.DUMMYFUNCTION("""COMPUTED_VALUE"""),0.0)</f>
        <v>0</v>
      </c>
      <c r="M37" s="6">
        <f>IFERROR(__xludf.DUMMYFUNCTION("""COMPUTED_VALUE"""),4.1)</f>
        <v>4.1</v>
      </c>
      <c r="N37" s="6">
        <f>IFERROR(__xludf.DUMMYFUNCTION("""COMPUTED_VALUE"""),3.5)</f>
        <v>3.5</v>
      </c>
      <c r="O37" s="6">
        <f>IFERROR(__xludf.DUMMYFUNCTION("""COMPUTED_VALUE"""),0.0)</f>
        <v>0</v>
      </c>
      <c r="P37" s="6">
        <f>IFERROR(__xludf.DUMMYFUNCTION("""COMPUTED_VALUE"""),0.0)</f>
        <v>0</v>
      </c>
      <c r="Q37" s="6">
        <f>IFERROR(__xludf.DUMMYFUNCTION("""COMPUTED_VALUE"""),5.0)</f>
        <v>5</v>
      </c>
      <c r="R37" s="6">
        <f>IFERROR(__xludf.DUMMYFUNCTION("""COMPUTED_VALUE"""),5.0)</f>
        <v>5</v>
      </c>
      <c r="S37" s="6">
        <f>IFERROR(__xludf.DUMMYFUNCTION("""COMPUTED_VALUE"""),5.0)</f>
        <v>5</v>
      </c>
      <c r="T37" s="6">
        <f>IFERROR(__xludf.DUMMYFUNCTION("""COMPUTED_VALUE"""),5.0)</f>
        <v>5</v>
      </c>
      <c r="U37" s="8">
        <f>IFERROR(__xludf.DUMMYFUNCTION("""COMPUTED_VALUE"""),2.88)</f>
        <v>2.88</v>
      </c>
      <c r="V37" s="12">
        <f>IFERROR(__xludf.DUMMYFUNCTION("""COMPUTED_VALUE"""),0.96)</f>
        <v>0.96</v>
      </c>
      <c r="W37" s="6"/>
      <c r="X37" s="6"/>
      <c r="Y37" s="6">
        <f>IFERROR(__xludf.DUMMYFUNCTION("""COMPUTED_VALUE"""),4.6)</f>
        <v>4.6</v>
      </c>
      <c r="Z37" s="6"/>
      <c r="AA37" s="6">
        <f>IFERROR(__xludf.DUMMYFUNCTION("""COMPUTED_VALUE"""),2261809.0)</f>
        <v>2261809</v>
      </c>
      <c r="AB37" s="6"/>
      <c r="AC37" s="6"/>
      <c r="AD37" s="6"/>
      <c r="AE37" s="6"/>
      <c r="AF37" s="6"/>
      <c r="AG37" s="6"/>
      <c r="AH37" s="6"/>
      <c r="AI37" s="6"/>
      <c r="AJ37" s="6"/>
      <c r="AK37" s="6"/>
    </row>
    <row r="38">
      <c r="A38" s="6">
        <f>IFERROR(__xludf.DUMMYFUNCTION("""COMPUTED_VALUE"""),37.0)</f>
        <v>37</v>
      </c>
      <c r="B38" s="5" t="str">
        <f>IFERROR(__xludf.DUMMYFUNCTION("""COMPUTED_VALUE"""),"ZAMBRANO ESQUIVIA JUAN DAVID")</f>
        <v>ZAMBRANO ESQUIVIA JUAN DAVID</v>
      </c>
      <c r="C38" s="6">
        <f>IFERROR(__xludf.DUMMYFUNCTION("""COMPUTED_VALUE"""),3.9)</f>
        <v>3.9</v>
      </c>
      <c r="D38" s="6">
        <f>IFERROR(__xludf.DUMMYFUNCTION("""COMPUTED_VALUE"""),4.4)</f>
        <v>4.4</v>
      </c>
      <c r="E38" s="6">
        <f>IFERROR(__xludf.DUMMYFUNCTION("""COMPUTED_VALUE"""),3.4)</f>
        <v>3.4</v>
      </c>
      <c r="F38" s="6">
        <f>IFERROR(__xludf.DUMMYFUNCTION("""COMPUTED_VALUE"""),4.0)</f>
        <v>4</v>
      </c>
      <c r="G38" s="6">
        <f>IFERROR(__xludf.DUMMYFUNCTION("""COMPUTED_VALUE"""),4.9)</f>
        <v>4.9</v>
      </c>
      <c r="H38" s="6">
        <f>IFERROR(__xludf.DUMMYFUNCTION("""COMPUTED_VALUE"""),4.5)</f>
        <v>4.5</v>
      </c>
      <c r="I38" s="6">
        <f>IFERROR(__xludf.DUMMYFUNCTION("""COMPUTED_VALUE"""),4.7)</f>
        <v>4.7</v>
      </c>
      <c r="J38" s="6">
        <f>IFERROR(__xludf.DUMMYFUNCTION("""COMPUTED_VALUE"""),3.6)</f>
        <v>3.6</v>
      </c>
      <c r="K38" s="6">
        <f>IFERROR(__xludf.DUMMYFUNCTION("""COMPUTED_VALUE"""),4.8)</f>
        <v>4.8</v>
      </c>
      <c r="L38" s="6">
        <f>IFERROR(__xludf.DUMMYFUNCTION("""COMPUTED_VALUE"""),4.7)</f>
        <v>4.7</v>
      </c>
      <c r="M38" s="6">
        <f>IFERROR(__xludf.DUMMYFUNCTION("""COMPUTED_VALUE"""),3.9)</f>
        <v>3.9</v>
      </c>
      <c r="N38" s="6">
        <f>IFERROR(__xludf.DUMMYFUNCTION("""COMPUTED_VALUE"""),3.0)</f>
        <v>3</v>
      </c>
      <c r="O38" s="6">
        <f>IFERROR(__xludf.DUMMYFUNCTION("""COMPUTED_VALUE"""),5.0)</f>
        <v>5</v>
      </c>
      <c r="P38" s="6">
        <f>IFERROR(__xludf.DUMMYFUNCTION("""COMPUTED_VALUE"""),4.66)</f>
        <v>4.66</v>
      </c>
      <c r="Q38" s="6">
        <f>IFERROR(__xludf.DUMMYFUNCTION("""COMPUTED_VALUE"""),5.0)</f>
        <v>5</v>
      </c>
      <c r="R38" s="6">
        <f>IFERROR(__xludf.DUMMYFUNCTION("""COMPUTED_VALUE"""),5.0)</f>
        <v>5</v>
      </c>
      <c r="S38" s="6">
        <f>IFERROR(__xludf.DUMMYFUNCTION("""COMPUTED_VALUE"""),5.0)</f>
        <v>5</v>
      </c>
      <c r="T38" s="6">
        <f>IFERROR(__xludf.DUMMYFUNCTION("""COMPUTED_VALUE"""),5.0)</f>
        <v>5</v>
      </c>
      <c r="U38" s="8">
        <f>IFERROR(__xludf.DUMMYFUNCTION("""COMPUTED_VALUE"""),4.045000000000001)</f>
        <v>4.045</v>
      </c>
      <c r="V38" s="12">
        <f>IFERROR(__xludf.DUMMYFUNCTION("""COMPUTED_VALUE"""),1.3483333333333336)</f>
        <v>1.348333333</v>
      </c>
      <c r="W38" s="6"/>
      <c r="X38" s="6"/>
      <c r="Y38" s="6">
        <f>IFERROR(__xludf.DUMMYFUNCTION("""COMPUTED_VALUE"""),4.9)</f>
        <v>4.9</v>
      </c>
      <c r="Z38" s="6"/>
      <c r="AA38" s="6">
        <f>IFERROR(__xludf.DUMMYFUNCTION("""COMPUTED_VALUE"""),2262214.0)</f>
        <v>2262214</v>
      </c>
      <c r="AB38" s="6"/>
      <c r="AC38" s="6"/>
      <c r="AD38" s="6"/>
      <c r="AE38" s="6"/>
      <c r="AF38" s="6"/>
      <c r="AG38" s="6"/>
      <c r="AH38" s="6"/>
      <c r="AI38" s="6"/>
      <c r="AJ38" s="6"/>
      <c r="AK38" s="6"/>
    </row>
  </sheetData>
  <conditionalFormatting sqref="T2:T38">
    <cfRule type="cellIs" dxfId="0" priority="1" operator="greaterThanOrEqual">
      <formula>3</formula>
    </cfRule>
  </conditionalFormatting>
  <conditionalFormatting sqref="T2:T38">
    <cfRule type="cellIs" dxfId="1" priority="2" operator="between">
      <formula>2.8</formula>
      <formula>2.999</formula>
    </cfRule>
  </conditionalFormatting>
  <conditionalFormatting sqref="T2:T38">
    <cfRule type="cellIs" dxfId="2" priority="3" operator="lessThan">
      <formula>2.8</formula>
    </cfRule>
  </conditionalFormatting>
  <conditionalFormatting sqref="U2:U38">
    <cfRule type="cellIs" dxfId="3" priority="4" operator="lessThan">
      <formula>3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3.88"/>
    <col customWidth="1" min="2" max="2" width="34.38"/>
    <col customWidth="1" min="3" max="6" width="3.88"/>
    <col customWidth="1" min="7" max="7" width="4.63"/>
    <col customWidth="1" min="8" max="8" width="4.88"/>
    <col customWidth="1" min="9" max="9" width="6.88"/>
    <col customWidth="1" min="10" max="17" width="3.88"/>
    <col customWidth="1" min="18" max="18" width="7.25"/>
    <col customWidth="1" min="19" max="19" width="5.88"/>
    <col customWidth="1" min="20" max="20" width="6.63"/>
    <col customWidth="1" min="21" max="22" width="3.88"/>
    <col customWidth="1" min="23" max="23" width="8.0"/>
    <col customWidth="1" min="24" max="24" width="5.13"/>
    <col customWidth="1" min="25" max="25" width="7.63"/>
    <col customWidth="1" min="26" max="26" width="3.88"/>
  </cols>
  <sheetData>
    <row r="1">
      <c r="A1" s="1" t="str">
        <f>IFERROR(__xludf.DUMMYFUNCTION("IMPORTRANGE(""1IBQjOws3WhAXDJftgpUWc3oN7u_5yElNOe9-ViV3LKs"",""ALG_PF1_2!A1:Y28"")"),"No")</f>
        <v>No</v>
      </c>
      <c r="B1" s="2" t="str">
        <f>IFERROR(__xludf.DUMMYFUNCTION("""COMPUTED_VALUE"""),"ESTUDIANTE")</f>
        <v>ESTUDIANTE</v>
      </c>
      <c r="C1" s="1" t="str">
        <f>IFERROR(__xludf.DUMMYFUNCTION("""COMPUTED_VALUE"""),"P1")</f>
        <v>P1</v>
      </c>
      <c r="D1" s="1" t="str">
        <f>IFERROR(__xludf.DUMMYFUNCTION("""COMPUTED_VALUE"""),"P2")</f>
        <v>P2</v>
      </c>
      <c r="E1" s="1" t="str">
        <f>IFERROR(__xludf.DUMMYFUNCTION("""COMPUTED_VALUE"""),"P3")</f>
        <v>P3</v>
      </c>
      <c r="F1" s="1" t="str">
        <f>IFERROR(__xludf.DUMMYFUNCTION("""COMPUTED_VALUE"""),"P4")</f>
        <v>P4</v>
      </c>
      <c r="G1" s="1" t="str">
        <f>IFERROR(__xludf.DUMMYFUNCTION("""COMPUTED_VALUE"""),"PQT")</f>
        <v>PQT</v>
      </c>
      <c r="H1" s="11" t="str">
        <f>IFERROR(__xludf.DUMMYFUNCTION("""COMPUTED_VALUE"""),"TUTO")</f>
        <v>TUTO</v>
      </c>
      <c r="I1" s="11" t="str">
        <f>IFERROR(__xludf.DUMMYFUNCTION("""COMPUTED_VALUE"""),"PQT+Tu")</f>
        <v>PQT+Tu</v>
      </c>
      <c r="J1" s="1" t="str">
        <f>IFERROR(__xludf.DUMMYFUNCTION("""COMPUTED_VALUE"""),"Q1")</f>
        <v>Q1</v>
      </c>
      <c r="K1" s="1" t="str">
        <f>IFERROR(__xludf.DUMMYFUNCTION("""COMPUTED_VALUE"""),"Ta1")</f>
        <v>Ta1</v>
      </c>
      <c r="L1" s="1" t="str">
        <f>IFERROR(__xludf.DUMMYFUNCTION("""COMPUTED_VALUE"""),"Tr1")</f>
        <v>Tr1</v>
      </c>
      <c r="M1" s="1" t="str">
        <f>IFERROR(__xludf.DUMMYFUNCTION("""COMPUTED_VALUE"""),"Tr2")</f>
        <v>Tr2</v>
      </c>
      <c r="N1" s="1" t="str">
        <f>IFERROR(__xludf.DUMMYFUNCTION("""COMPUTED_VALUE"""),"Tr3")</f>
        <v>Tr3</v>
      </c>
      <c r="O1" s="1" t="str">
        <f>IFERROR(__xludf.DUMMYFUNCTION("""COMPUTED_VALUE"""),"Q2")</f>
        <v>Q2</v>
      </c>
      <c r="P1" s="1" t="str">
        <f>IFERROR(__xludf.DUMMYFUNCTION("""COMPUTED_VALUE"""),"Tr4")</f>
        <v>Tr4</v>
      </c>
      <c r="Q1" s="1" t="str">
        <f>IFERROR(__xludf.DUMMYFUNCTION("""COMPUTED_VALUE"""),"Ta2")</f>
        <v>Ta2</v>
      </c>
      <c r="R1" s="1"/>
      <c r="S1" s="1" t="str">
        <f>IFERROR(__xludf.DUMMYFUNCTION("""COMPUTED_VALUE"""),"FINAL")</f>
        <v>FINAL</v>
      </c>
      <c r="T1" s="1" t="str">
        <f>IFERROR(__xludf.DUMMYFUNCTION("""COMPUTED_VALUE"""),"meta3.0")</f>
        <v>meta3.0</v>
      </c>
      <c r="U1" s="1"/>
      <c r="V1" s="1"/>
      <c r="W1" s="1" t="str">
        <f>IFERROR(__xludf.DUMMYFUNCTION("""COMPUTED_VALUE"""),"pqt(real)")</f>
        <v>pqt(real)</v>
      </c>
      <c r="X1" s="3" t="str">
        <f>IFERROR(__xludf.DUMMYFUNCTION("""COMPUTED_VALUE"""),"FINAL")</f>
        <v>FINAL</v>
      </c>
      <c r="Y1" s="1" t="str">
        <f>IFERROR(__xludf.DUMMYFUNCTION("""COMPUTED_VALUE"""),"COD")</f>
        <v>COD</v>
      </c>
      <c r="Z1" s="1"/>
    </row>
    <row r="2">
      <c r="A2" s="6">
        <f>IFERROR(__xludf.DUMMYFUNCTION("""COMPUTED_VALUE"""),1.0)</f>
        <v>1</v>
      </c>
      <c r="B2" s="5" t="str">
        <f>IFERROR(__xludf.DUMMYFUNCTION("""COMPUTED_VALUE"""),"ALVARADO HERRERA JUANANGEL")</f>
        <v>ALVARADO HERRERA JUANANGEL</v>
      </c>
      <c r="C2" s="6">
        <f>IFERROR(__xludf.DUMMYFUNCTION("""COMPUTED_VALUE"""),4.9)</f>
        <v>4.9</v>
      </c>
      <c r="D2" s="6">
        <f>IFERROR(__xludf.DUMMYFUNCTION("""COMPUTED_VALUE"""),5.0)</f>
        <v>5</v>
      </c>
      <c r="E2" s="6">
        <f>IFERROR(__xludf.DUMMYFUNCTION("""COMPUTED_VALUE"""),4.0)</f>
        <v>4</v>
      </c>
      <c r="F2" s="6">
        <f>IFERROR(__xludf.DUMMYFUNCTION("""COMPUTED_VALUE"""),4.0)</f>
        <v>4</v>
      </c>
      <c r="G2" s="6">
        <f>IFERROR(__xludf.DUMMYFUNCTION("""COMPUTED_VALUE"""),4.9)</f>
        <v>4.9</v>
      </c>
      <c r="H2" s="6">
        <f>IFERROR(__xludf.DUMMYFUNCTION("""COMPUTED_VALUE"""),5.0)</f>
        <v>5</v>
      </c>
      <c r="I2" s="6">
        <f>IFERROR(__xludf.DUMMYFUNCTION("""COMPUTED_VALUE"""),4.9)</f>
        <v>4.9</v>
      </c>
      <c r="J2" s="6">
        <f>IFERROR(__xludf.DUMMYFUNCTION("""COMPUTED_VALUE"""),3.0)</f>
        <v>3</v>
      </c>
      <c r="K2" s="6">
        <f>IFERROR(__xludf.DUMMYFUNCTION("""COMPUTED_VALUE"""),5.0)</f>
        <v>5</v>
      </c>
      <c r="L2" s="6">
        <f>IFERROR(__xludf.DUMMYFUNCTION("""COMPUTED_VALUE"""),5.0)</f>
        <v>5</v>
      </c>
      <c r="M2" s="6">
        <f>IFERROR(__xludf.DUMMYFUNCTION("""COMPUTED_VALUE"""),5.0)</f>
        <v>5</v>
      </c>
      <c r="N2" s="6">
        <f>IFERROR(__xludf.DUMMYFUNCTION("""COMPUTED_VALUE"""),5.0)</f>
        <v>5</v>
      </c>
      <c r="O2" s="6">
        <f>IFERROR(__xludf.DUMMYFUNCTION("""COMPUTED_VALUE"""),5.0)</f>
        <v>5</v>
      </c>
      <c r="P2" s="6">
        <f>IFERROR(__xludf.DUMMYFUNCTION("""COMPUTED_VALUE"""),5.0)</f>
        <v>5</v>
      </c>
      <c r="Q2" s="6">
        <f>IFERROR(__xludf.DUMMYFUNCTION("""COMPUTED_VALUE"""),5.0)</f>
        <v>5</v>
      </c>
      <c r="R2" s="6"/>
      <c r="S2" s="8">
        <f>IFERROR(__xludf.DUMMYFUNCTION("""COMPUTED_VALUE"""),4.565)</f>
        <v>4.565</v>
      </c>
      <c r="T2" s="12">
        <f>IFERROR(__xludf.DUMMYFUNCTION("""COMPUTED_VALUE"""),1.5216666666666667)</f>
        <v>1.521666667</v>
      </c>
      <c r="U2" s="6"/>
      <c r="V2" s="6"/>
      <c r="W2" s="6">
        <f>IFERROR(__xludf.DUMMYFUNCTION("""COMPUTED_VALUE"""),4.8)</f>
        <v>4.8</v>
      </c>
      <c r="X2" s="6"/>
      <c r="Y2" s="6">
        <f>IFERROR(__xludf.DUMMYFUNCTION("""COMPUTED_VALUE"""),2261740.0)</f>
        <v>2261740</v>
      </c>
      <c r="Z2" s="6"/>
    </row>
    <row r="3">
      <c r="A3" s="6">
        <f>IFERROR(__xludf.DUMMYFUNCTION("""COMPUTED_VALUE"""),2.0)</f>
        <v>2</v>
      </c>
      <c r="B3" s="5" t="str">
        <f>IFERROR(__xludf.DUMMYFUNCTION("""COMPUTED_VALUE"""),"BALLESTEROS BUENO LUIS FERNANDO")</f>
        <v>BALLESTEROS BUENO LUIS FERNANDO</v>
      </c>
      <c r="C3" s="6">
        <f>IFERROR(__xludf.DUMMYFUNCTION("""COMPUTED_VALUE"""),3.8)</f>
        <v>3.8</v>
      </c>
      <c r="D3" s="6">
        <f>IFERROR(__xludf.DUMMYFUNCTION("""COMPUTED_VALUE"""),3.2)</f>
        <v>3.2</v>
      </c>
      <c r="E3" s="6">
        <f>IFERROR(__xludf.DUMMYFUNCTION("""COMPUTED_VALUE"""),4.1)</f>
        <v>4.1</v>
      </c>
      <c r="F3" s="6">
        <f>IFERROR(__xludf.DUMMYFUNCTION("""COMPUTED_VALUE"""),2.0)</f>
        <v>2</v>
      </c>
      <c r="G3" s="6">
        <f>IFERROR(__xludf.DUMMYFUNCTION("""COMPUTED_VALUE"""),4.6)</f>
        <v>4.6</v>
      </c>
      <c r="H3" s="6">
        <f>IFERROR(__xludf.DUMMYFUNCTION("""COMPUTED_VALUE"""),5.0)</f>
        <v>5</v>
      </c>
      <c r="I3" s="6">
        <f>IFERROR(__xludf.DUMMYFUNCTION("""COMPUTED_VALUE"""),4.6)</f>
        <v>4.6</v>
      </c>
      <c r="J3" s="6">
        <f>IFERROR(__xludf.DUMMYFUNCTION("""COMPUTED_VALUE"""),3.0)</f>
        <v>3</v>
      </c>
      <c r="K3" s="6">
        <f>IFERROR(__xludf.DUMMYFUNCTION("""COMPUTED_VALUE"""),5.0)</f>
        <v>5</v>
      </c>
      <c r="L3" s="6">
        <f>IFERROR(__xludf.DUMMYFUNCTION("""COMPUTED_VALUE"""),5.0)</f>
        <v>5</v>
      </c>
      <c r="M3" s="6">
        <f>IFERROR(__xludf.DUMMYFUNCTION("""COMPUTED_VALUE"""),5.0)</f>
        <v>5</v>
      </c>
      <c r="N3" s="6">
        <f>IFERROR(__xludf.DUMMYFUNCTION("""COMPUTED_VALUE"""),5.0)</f>
        <v>5</v>
      </c>
      <c r="O3" s="6">
        <f>IFERROR(__xludf.DUMMYFUNCTION("""COMPUTED_VALUE"""),1.31)</f>
        <v>1.31</v>
      </c>
      <c r="P3" s="6">
        <f>IFERROR(__xludf.DUMMYFUNCTION("""COMPUTED_VALUE"""),5.0)</f>
        <v>5</v>
      </c>
      <c r="Q3" s="6">
        <f>IFERROR(__xludf.DUMMYFUNCTION("""COMPUTED_VALUE"""),4.5)</f>
        <v>4.5</v>
      </c>
      <c r="R3" s="6"/>
      <c r="S3" s="8">
        <f>IFERROR(__xludf.DUMMYFUNCTION("""COMPUTED_VALUE"""),3.51)</f>
        <v>3.51</v>
      </c>
      <c r="T3" s="12">
        <f>IFERROR(__xludf.DUMMYFUNCTION("""COMPUTED_VALUE"""),1.17)</f>
        <v>1.17</v>
      </c>
      <c r="U3" s="6"/>
      <c r="V3" s="6"/>
      <c r="W3" s="6">
        <f>IFERROR(__xludf.DUMMYFUNCTION("""COMPUTED_VALUE"""),4.2)</f>
        <v>4.2</v>
      </c>
      <c r="X3" s="6"/>
      <c r="Y3" s="6">
        <f>IFERROR(__xludf.DUMMYFUNCTION("""COMPUTED_VALUE"""),2261739.0)</f>
        <v>2261739</v>
      </c>
      <c r="Z3" s="6"/>
    </row>
    <row r="4">
      <c r="A4" s="6">
        <f>IFERROR(__xludf.DUMMYFUNCTION("""COMPUTED_VALUE"""),3.0)</f>
        <v>3</v>
      </c>
      <c r="B4" s="5" t="str">
        <f>IFERROR(__xludf.DUMMYFUNCTION("""COMPUTED_VALUE"""),"CALA MORENO SEBASTIAN")</f>
        <v>CALA MORENO SEBASTIAN</v>
      </c>
      <c r="C4" s="6">
        <f>IFERROR(__xludf.DUMMYFUNCTION("""COMPUTED_VALUE"""),3.3)</f>
        <v>3.3</v>
      </c>
      <c r="D4" s="6">
        <f>IFERROR(__xludf.DUMMYFUNCTION("""COMPUTED_VALUE"""),3.5)</f>
        <v>3.5</v>
      </c>
      <c r="E4" s="6">
        <f>IFERROR(__xludf.DUMMYFUNCTION("""COMPUTED_VALUE"""),5.0)</f>
        <v>5</v>
      </c>
      <c r="F4" s="6">
        <f>IFERROR(__xludf.DUMMYFUNCTION("""COMPUTED_VALUE"""),3.0)</f>
        <v>3</v>
      </c>
      <c r="G4" s="6">
        <f>IFERROR(__xludf.DUMMYFUNCTION("""COMPUTED_VALUE"""),3.8)</f>
        <v>3.8</v>
      </c>
      <c r="H4" s="6">
        <f>IFERROR(__xludf.DUMMYFUNCTION("""COMPUTED_VALUE"""),4.7)</f>
        <v>4.7</v>
      </c>
      <c r="I4" s="6">
        <f>IFERROR(__xludf.DUMMYFUNCTION("""COMPUTED_VALUE"""),3.8)</f>
        <v>3.8</v>
      </c>
      <c r="J4" s="6">
        <f>IFERROR(__xludf.DUMMYFUNCTION("""COMPUTED_VALUE"""),1.0)</f>
        <v>1</v>
      </c>
      <c r="K4" s="6">
        <f>IFERROR(__xludf.DUMMYFUNCTION("""COMPUTED_VALUE"""),4.0)</f>
        <v>4</v>
      </c>
      <c r="L4" s="6">
        <f>IFERROR(__xludf.DUMMYFUNCTION("""COMPUTED_VALUE"""),0.0)</f>
        <v>0</v>
      </c>
      <c r="M4" s="6">
        <f>IFERROR(__xludf.DUMMYFUNCTION("""COMPUTED_VALUE"""),5.0)</f>
        <v>5</v>
      </c>
      <c r="N4" s="6">
        <f>IFERROR(__xludf.DUMMYFUNCTION("""COMPUTED_VALUE"""),5.0)</f>
        <v>5</v>
      </c>
      <c r="O4" s="6">
        <f>IFERROR(__xludf.DUMMYFUNCTION("""COMPUTED_VALUE"""),0.0)</f>
        <v>0</v>
      </c>
      <c r="P4" s="6">
        <f>IFERROR(__xludf.DUMMYFUNCTION("""COMPUTED_VALUE"""),5.0)</f>
        <v>5</v>
      </c>
      <c r="Q4" s="6" t="str">
        <f>IFERROR(__xludf.DUMMYFUNCTION("""COMPUTED_VALUE""")," ")</f>
        <v> </v>
      </c>
      <c r="R4" s="6"/>
      <c r="S4" s="8">
        <f>IFERROR(__xludf.DUMMYFUNCTION("""COMPUTED_VALUE"""),3.7300000000000004)</f>
        <v>3.73</v>
      </c>
      <c r="T4" s="12">
        <f>IFERROR(__xludf.DUMMYFUNCTION("""COMPUTED_VALUE"""),1.2433333333333334)</f>
        <v>1.243333333</v>
      </c>
      <c r="U4" s="6"/>
      <c r="V4" s="6"/>
      <c r="W4" s="6">
        <f>IFERROR(__xludf.DUMMYFUNCTION("""COMPUTED_VALUE"""),2.9)</f>
        <v>2.9</v>
      </c>
      <c r="X4" s="6"/>
      <c r="Y4" s="6">
        <f>IFERROR(__xludf.DUMMYFUNCTION("""COMPUTED_VALUE"""),2261421.0)</f>
        <v>2261421</v>
      </c>
      <c r="Z4" s="6"/>
    </row>
    <row r="5">
      <c r="A5" s="6">
        <f>IFERROR(__xludf.DUMMYFUNCTION("""COMPUTED_VALUE"""),4.0)</f>
        <v>4</v>
      </c>
      <c r="B5" s="5" t="str">
        <f>IFERROR(__xludf.DUMMYFUNCTION("""COMPUTED_VALUE"""),"CARDENAS CARRASCAL JUAN DAVID")</f>
        <v>CARDENAS CARRASCAL JUAN DAVID</v>
      </c>
      <c r="C5" s="6">
        <f>IFERROR(__xludf.DUMMYFUNCTION("""COMPUTED_VALUE"""),4.5)</f>
        <v>4.5</v>
      </c>
      <c r="D5" s="6">
        <f>IFERROR(__xludf.DUMMYFUNCTION("""COMPUTED_VALUE"""),4.0)</f>
        <v>4</v>
      </c>
      <c r="E5" s="6">
        <f>IFERROR(__xludf.DUMMYFUNCTION("""COMPUTED_VALUE"""),3.8)</f>
        <v>3.8</v>
      </c>
      <c r="F5" s="6">
        <f>IFERROR(__xludf.DUMMYFUNCTION("""COMPUTED_VALUE"""),3.5)</f>
        <v>3.5</v>
      </c>
      <c r="G5" s="6">
        <f>IFERROR(__xludf.DUMMYFUNCTION("""COMPUTED_VALUE"""),4.7)</f>
        <v>4.7</v>
      </c>
      <c r="H5" s="6">
        <f>IFERROR(__xludf.DUMMYFUNCTION("""COMPUTED_VALUE"""),4.9)</f>
        <v>4.9</v>
      </c>
      <c r="I5" s="6">
        <f>IFERROR(__xludf.DUMMYFUNCTION("""COMPUTED_VALUE"""),4.7)</f>
        <v>4.7</v>
      </c>
      <c r="J5" s="6">
        <f>IFERROR(__xludf.DUMMYFUNCTION("""COMPUTED_VALUE"""),3.0)</f>
        <v>3</v>
      </c>
      <c r="K5" s="6">
        <f>IFERROR(__xludf.DUMMYFUNCTION("""COMPUTED_VALUE"""),4.0)</f>
        <v>4</v>
      </c>
      <c r="L5" s="6">
        <f>IFERROR(__xludf.DUMMYFUNCTION("""COMPUTED_VALUE"""),5.0)</f>
        <v>5</v>
      </c>
      <c r="M5" s="6">
        <f>IFERROR(__xludf.DUMMYFUNCTION("""COMPUTED_VALUE"""),5.0)</f>
        <v>5</v>
      </c>
      <c r="N5" s="6">
        <f>IFERROR(__xludf.DUMMYFUNCTION("""COMPUTED_VALUE"""),5.0)</f>
        <v>5</v>
      </c>
      <c r="O5" s="6">
        <f>IFERROR(__xludf.DUMMYFUNCTION("""COMPUTED_VALUE"""),4.5)</f>
        <v>4.5</v>
      </c>
      <c r="P5" s="6">
        <f>IFERROR(__xludf.DUMMYFUNCTION("""COMPUTED_VALUE"""),5.0)</f>
        <v>5</v>
      </c>
      <c r="Q5" s="6" t="str">
        <f>IFERROR(__xludf.DUMMYFUNCTION("""COMPUTED_VALUE""")," ")</f>
        <v> </v>
      </c>
      <c r="R5" s="6"/>
      <c r="S5" s="8">
        <f>IFERROR(__xludf.DUMMYFUNCTION("""COMPUTED_VALUE"""),4.075)</f>
        <v>4.075</v>
      </c>
      <c r="T5" s="12">
        <f>IFERROR(__xludf.DUMMYFUNCTION("""COMPUTED_VALUE"""),1.3583333333333334)</f>
        <v>1.358333333</v>
      </c>
      <c r="U5" s="6"/>
      <c r="V5" s="6"/>
      <c r="W5" s="6">
        <f>IFERROR(__xludf.DUMMYFUNCTION("""COMPUTED_VALUE"""),4.5)</f>
        <v>4.5</v>
      </c>
      <c r="X5" s="6"/>
      <c r="Y5" s="6">
        <f>IFERROR(__xludf.DUMMYFUNCTION("""COMPUTED_VALUE"""),2262091.0)</f>
        <v>2262091</v>
      </c>
      <c r="Z5" s="6"/>
    </row>
    <row r="6">
      <c r="A6" s="6">
        <f>IFERROR(__xludf.DUMMYFUNCTION("""COMPUTED_VALUE"""),5.0)</f>
        <v>5</v>
      </c>
      <c r="B6" s="5" t="str">
        <f>IFERROR(__xludf.DUMMYFUNCTION("""COMPUTED_VALUE"""),"CASERTA RANGEL LUIS ANTONIO")</f>
        <v>CASERTA RANGEL LUIS ANTONIO</v>
      </c>
      <c r="C6" s="6">
        <f>IFERROR(__xludf.DUMMYFUNCTION("""COMPUTED_VALUE"""),5.0)</f>
        <v>5</v>
      </c>
      <c r="D6" s="6">
        <f>IFERROR(__xludf.DUMMYFUNCTION("""COMPUTED_VALUE"""),4.0)</f>
        <v>4</v>
      </c>
      <c r="E6" s="6">
        <f>IFERROR(__xludf.DUMMYFUNCTION("""COMPUTED_VALUE"""),5.0)</f>
        <v>5</v>
      </c>
      <c r="F6" s="6">
        <f>IFERROR(__xludf.DUMMYFUNCTION("""COMPUTED_VALUE"""),3.5)</f>
        <v>3.5</v>
      </c>
      <c r="G6" s="6">
        <f>IFERROR(__xludf.DUMMYFUNCTION("""COMPUTED_VALUE"""),4.7)</f>
        <v>4.7</v>
      </c>
      <c r="H6" s="6">
        <f>IFERROR(__xludf.DUMMYFUNCTION("""COMPUTED_VALUE"""),4.9)</f>
        <v>4.9</v>
      </c>
      <c r="I6" s="6">
        <f>IFERROR(__xludf.DUMMYFUNCTION("""COMPUTED_VALUE"""),4.7)</f>
        <v>4.7</v>
      </c>
      <c r="J6" s="6">
        <f>IFERROR(__xludf.DUMMYFUNCTION("""COMPUTED_VALUE"""),2.0)</f>
        <v>2</v>
      </c>
      <c r="K6" s="6">
        <f>IFERROR(__xludf.DUMMYFUNCTION("""COMPUTED_VALUE"""),5.0)</f>
        <v>5</v>
      </c>
      <c r="L6" s="6">
        <f>IFERROR(__xludf.DUMMYFUNCTION("""COMPUTED_VALUE"""),5.0)</f>
        <v>5</v>
      </c>
      <c r="M6" s="6">
        <f>IFERROR(__xludf.DUMMYFUNCTION("""COMPUTED_VALUE"""),5.0)</f>
        <v>5</v>
      </c>
      <c r="N6" s="6">
        <f>IFERROR(__xludf.DUMMYFUNCTION("""COMPUTED_VALUE"""),5.0)</f>
        <v>5</v>
      </c>
      <c r="O6" s="6">
        <f>IFERROR(__xludf.DUMMYFUNCTION("""COMPUTED_VALUE"""),4.45)</f>
        <v>4.45</v>
      </c>
      <c r="P6" s="6">
        <f>IFERROR(__xludf.DUMMYFUNCTION("""COMPUTED_VALUE"""),5.0)</f>
        <v>5</v>
      </c>
      <c r="Q6" s="6">
        <f>IFERROR(__xludf.DUMMYFUNCTION("""COMPUTED_VALUE"""),4.75)</f>
        <v>4.75</v>
      </c>
      <c r="R6" s="6"/>
      <c r="S6" s="8">
        <f>IFERROR(__xludf.DUMMYFUNCTION("""COMPUTED_VALUE"""),4.390000000000001)</f>
        <v>4.39</v>
      </c>
      <c r="T6" s="12">
        <f>IFERROR(__xludf.DUMMYFUNCTION("""COMPUTED_VALUE"""),1.4633333333333336)</f>
        <v>1.463333333</v>
      </c>
      <c r="U6" s="6"/>
      <c r="V6" s="6"/>
      <c r="W6" s="6">
        <f>IFERROR(__xludf.DUMMYFUNCTION("""COMPUTED_VALUE"""),4.5)</f>
        <v>4.5</v>
      </c>
      <c r="X6" s="6"/>
      <c r="Y6" s="6">
        <f>IFERROR(__xludf.DUMMYFUNCTION("""COMPUTED_VALUE"""),2261217.0)</f>
        <v>2261217</v>
      </c>
      <c r="Z6" s="6"/>
    </row>
    <row r="7">
      <c r="A7" s="6">
        <f>IFERROR(__xludf.DUMMYFUNCTION("""COMPUTED_VALUE"""),6.0)</f>
        <v>6</v>
      </c>
      <c r="B7" s="5" t="str">
        <f>IFERROR(__xludf.DUMMYFUNCTION("""COMPUTED_VALUE"""),"CHACON RIOS ANGELO ANDREY")</f>
        <v>CHACON RIOS ANGELO ANDREY</v>
      </c>
      <c r="C7" s="6">
        <f>IFERROR(__xludf.DUMMYFUNCTION("""COMPUTED_VALUE"""),4.0)</f>
        <v>4</v>
      </c>
      <c r="D7" s="6">
        <f>IFERROR(__xludf.DUMMYFUNCTION("""COMPUTED_VALUE"""),3.7)</f>
        <v>3.7</v>
      </c>
      <c r="E7" s="6">
        <f>IFERROR(__xludf.DUMMYFUNCTION("""COMPUTED_VALUE"""),2.0)</f>
        <v>2</v>
      </c>
      <c r="F7" s="6">
        <f>IFERROR(__xludf.DUMMYFUNCTION("""COMPUTED_VALUE"""),4.0)</f>
        <v>4</v>
      </c>
      <c r="G7" s="6">
        <f>IFERROR(__xludf.DUMMYFUNCTION("""COMPUTED_VALUE"""),3.8)</f>
        <v>3.8</v>
      </c>
      <c r="H7" s="6">
        <f>IFERROR(__xludf.DUMMYFUNCTION("""COMPUTED_VALUE"""),4.7)</f>
        <v>4.7</v>
      </c>
      <c r="I7" s="6">
        <f>IFERROR(__xludf.DUMMYFUNCTION("""COMPUTED_VALUE"""),3.8)</f>
        <v>3.8</v>
      </c>
      <c r="J7" s="6">
        <f>IFERROR(__xludf.DUMMYFUNCTION("""COMPUTED_VALUE"""),2.0)</f>
        <v>2</v>
      </c>
      <c r="K7" s="6">
        <f>IFERROR(__xludf.DUMMYFUNCTION("""COMPUTED_VALUE"""),5.0)</f>
        <v>5</v>
      </c>
      <c r="L7" s="6">
        <f>IFERROR(__xludf.DUMMYFUNCTION("""COMPUTED_VALUE"""),5.0)</f>
        <v>5</v>
      </c>
      <c r="M7" s="6">
        <f>IFERROR(__xludf.DUMMYFUNCTION("""COMPUTED_VALUE"""),5.0)</f>
        <v>5</v>
      </c>
      <c r="N7" s="6"/>
      <c r="O7" s="6">
        <f>IFERROR(__xludf.DUMMYFUNCTION("""COMPUTED_VALUE"""),0.0)</f>
        <v>0</v>
      </c>
      <c r="P7" s="6">
        <f>IFERROR(__xludf.DUMMYFUNCTION("""COMPUTED_VALUE"""),0.0)</f>
        <v>0</v>
      </c>
      <c r="Q7" s="6" t="str">
        <f>IFERROR(__xludf.DUMMYFUNCTION("""COMPUTED_VALUE""")," ")</f>
        <v> </v>
      </c>
      <c r="R7" s="6"/>
      <c r="S7" s="8">
        <f>IFERROR(__xludf.DUMMYFUNCTION("""COMPUTED_VALUE"""),3.4850000000000003)</f>
        <v>3.485</v>
      </c>
      <c r="T7" s="12">
        <f>IFERROR(__xludf.DUMMYFUNCTION("""COMPUTED_VALUE"""),1.1616666666666668)</f>
        <v>1.161666667</v>
      </c>
      <c r="U7" s="6"/>
      <c r="V7" s="6"/>
      <c r="W7" s="6">
        <f>IFERROR(__xludf.DUMMYFUNCTION("""COMPUTED_VALUE"""),2.8)</f>
        <v>2.8</v>
      </c>
      <c r="X7" s="6"/>
      <c r="Y7" s="6">
        <f>IFERROR(__xludf.DUMMYFUNCTION("""COMPUTED_VALUE"""),2261668.0)</f>
        <v>2261668</v>
      </c>
      <c r="Z7" s="6"/>
    </row>
    <row r="8">
      <c r="A8" s="6">
        <f>IFERROR(__xludf.DUMMYFUNCTION("""COMPUTED_VALUE"""),7.0)</f>
        <v>7</v>
      </c>
      <c r="B8" s="5" t="str">
        <f>IFERROR(__xludf.DUMMYFUNCTION("""COMPUTED_VALUE"""),"ESPITIA HERNANDEZ CAMILO ANDRES")</f>
        <v>ESPITIA HERNANDEZ CAMILO ANDRES</v>
      </c>
      <c r="C8" s="6">
        <f>IFERROR(__xludf.DUMMYFUNCTION("""COMPUTED_VALUE"""),4.5)</f>
        <v>4.5</v>
      </c>
      <c r="D8" s="6">
        <f>IFERROR(__xludf.DUMMYFUNCTION("""COMPUTED_VALUE"""),5.0)</f>
        <v>5</v>
      </c>
      <c r="E8" s="6">
        <f>IFERROR(__xludf.DUMMYFUNCTION("""COMPUTED_VALUE"""),4.0)</f>
        <v>4</v>
      </c>
      <c r="F8" s="6">
        <f>IFERROR(__xludf.DUMMYFUNCTION("""COMPUTED_VALUE"""),4.5)</f>
        <v>4.5</v>
      </c>
      <c r="G8" s="6">
        <f>IFERROR(__xludf.DUMMYFUNCTION("""COMPUTED_VALUE"""),5.0)</f>
        <v>5</v>
      </c>
      <c r="H8" s="6">
        <f>IFERROR(__xludf.DUMMYFUNCTION("""COMPUTED_VALUE"""),5.0)</f>
        <v>5</v>
      </c>
      <c r="I8" s="6">
        <f>IFERROR(__xludf.DUMMYFUNCTION("""COMPUTED_VALUE"""),5.0)</f>
        <v>5</v>
      </c>
      <c r="J8" s="6">
        <f>IFERROR(__xludf.DUMMYFUNCTION("""COMPUTED_VALUE"""),5.0)</f>
        <v>5</v>
      </c>
      <c r="K8" s="6">
        <f>IFERROR(__xludf.DUMMYFUNCTION("""COMPUTED_VALUE"""),5.0)</f>
        <v>5</v>
      </c>
      <c r="L8" s="6">
        <f>IFERROR(__xludf.DUMMYFUNCTION("""COMPUTED_VALUE"""),5.0)</f>
        <v>5</v>
      </c>
      <c r="M8" s="6">
        <f>IFERROR(__xludf.DUMMYFUNCTION("""COMPUTED_VALUE"""),5.0)</f>
        <v>5</v>
      </c>
      <c r="N8" s="6">
        <f>IFERROR(__xludf.DUMMYFUNCTION("""COMPUTED_VALUE"""),5.0)</f>
        <v>5</v>
      </c>
      <c r="O8" s="6">
        <f>IFERROR(__xludf.DUMMYFUNCTION("""COMPUTED_VALUE"""),5.0)</f>
        <v>5</v>
      </c>
      <c r="P8" s="6">
        <f>IFERROR(__xludf.DUMMYFUNCTION("""COMPUTED_VALUE"""),5.0)</f>
        <v>5</v>
      </c>
      <c r="Q8" s="6">
        <f>IFERROR(__xludf.DUMMYFUNCTION("""COMPUTED_VALUE"""),4.0)</f>
        <v>4</v>
      </c>
      <c r="R8" s="6"/>
      <c r="S8" s="8">
        <f>IFERROR(__xludf.DUMMYFUNCTION("""COMPUTED_VALUE"""),4.625)</f>
        <v>4.625</v>
      </c>
      <c r="T8" s="12">
        <f>IFERROR(__xludf.DUMMYFUNCTION("""COMPUTED_VALUE"""),1.5416666666666667)</f>
        <v>1.541666667</v>
      </c>
      <c r="U8" s="6"/>
      <c r="V8" s="6"/>
      <c r="W8" s="6">
        <f>IFERROR(__xludf.DUMMYFUNCTION("""COMPUTED_VALUE"""),4.9)</f>
        <v>4.9</v>
      </c>
      <c r="X8" s="6"/>
      <c r="Y8" s="6">
        <f>IFERROR(__xludf.DUMMYFUNCTION("""COMPUTED_VALUE"""),2261288.0)</f>
        <v>2261288</v>
      </c>
      <c r="Z8" s="6"/>
    </row>
    <row r="9">
      <c r="A9" s="6">
        <f>IFERROR(__xludf.DUMMYFUNCTION("""COMPUTED_VALUE"""),8.0)</f>
        <v>8</v>
      </c>
      <c r="B9" s="5" t="str">
        <f>IFERROR(__xludf.DUMMYFUNCTION("""COMPUTED_VALUE"""),"GARCIA RAMON ELKYN ANDRESS")</f>
        <v>GARCIA RAMON ELKYN ANDRESS</v>
      </c>
      <c r="C9" s="6">
        <f>IFERROR(__xludf.DUMMYFUNCTION("""COMPUTED_VALUE"""),0.0)</f>
        <v>0</v>
      </c>
      <c r="D9" s="6">
        <f>IFERROR(__xludf.DUMMYFUNCTION("""COMPUTED_VALUE"""),0.0)</f>
        <v>0</v>
      </c>
      <c r="E9" s="6">
        <f>IFERROR(__xludf.DUMMYFUNCTION("""COMPUTED_VALUE"""),0.0)</f>
        <v>0</v>
      </c>
      <c r="F9" s="6">
        <f>IFERROR(__xludf.DUMMYFUNCTION("""COMPUTED_VALUE"""),0.0)</f>
        <v>0</v>
      </c>
      <c r="G9" s="6"/>
      <c r="H9" s="6">
        <f>IFERROR(__xludf.DUMMYFUNCTION("""COMPUTED_VALUE"""),0.0)</f>
        <v>0</v>
      </c>
      <c r="I9" s="6"/>
      <c r="J9" s="6"/>
      <c r="K9" s="6"/>
      <c r="L9" s="6"/>
      <c r="M9" s="6"/>
      <c r="N9" s="6"/>
      <c r="O9" s="6">
        <f>IFERROR(__xludf.DUMMYFUNCTION("""COMPUTED_VALUE"""),0.0)</f>
        <v>0</v>
      </c>
      <c r="P9" s="6"/>
      <c r="Q9" s="6" t="str">
        <f>IFERROR(__xludf.DUMMYFUNCTION("""COMPUTED_VALUE""")," ")</f>
        <v> </v>
      </c>
      <c r="R9" s="6"/>
      <c r="S9" s="8">
        <f>IFERROR(__xludf.DUMMYFUNCTION("""COMPUTED_VALUE"""),0.0)</f>
        <v>0</v>
      </c>
      <c r="T9" s="12">
        <f>IFERROR(__xludf.DUMMYFUNCTION("""COMPUTED_VALUE"""),0.0)</f>
        <v>0</v>
      </c>
      <c r="U9" s="6"/>
      <c r="V9" s="6"/>
      <c r="W9" s="6"/>
      <c r="X9" s="6"/>
      <c r="Y9" s="6">
        <f>IFERROR(__xludf.DUMMYFUNCTION("""COMPUTED_VALUE"""),2261846.0)</f>
        <v>2261846</v>
      </c>
      <c r="Z9" s="6"/>
    </row>
    <row r="10">
      <c r="A10" s="6">
        <f>IFERROR(__xludf.DUMMYFUNCTION("""COMPUTED_VALUE"""),9.0)</f>
        <v>9</v>
      </c>
      <c r="B10" s="5" t="str">
        <f>IFERROR(__xludf.DUMMYFUNCTION("""COMPUTED_VALUE"""),"GOMEZ ARCINIEGAS SANTIAGO")</f>
        <v>GOMEZ ARCINIEGAS SANTIAGO</v>
      </c>
      <c r="C10" s="6">
        <f>IFERROR(__xludf.DUMMYFUNCTION("""COMPUTED_VALUE"""),4.0)</f>
        <v>4</v>
      </c>
      <c r="D10" s="6">
        <f>IFERROR(__xludf.DUMMYFUNCTION("""COMPUTED_VALUE"""),3.5)</f>
        <v>3.5</v>
      </c>
      <c r="E10" s="6">
        <f>IFERROR(__xludf.DUMMYFUNCTION("""COMPUTED_VALUE"""),5.0)</f>
        <v>5</v>
      </c>
      <c r="F10" s="6">
        <f>IFERROR(__xludf.DUMMYFUNCTION("""COMPUTED_VALUE"""),5.0)</f>
        <v>5</v>
      </c>
      <c r="G10" s="6">
        <f>IFERROR(__xludf.DUMMYFUNCTION("""COMPUTED_VALUE"""),4.8)</f>
        <v>4.8</v>
      </c>
      <c r="H10" s="6">
        <f>IFERROR(__xludf.DUMMYFUNCTION("""COMPUTED_VALUE"""),5.0)</f>
        <v>5</v>
      </c>
      <c r="I10" s="6">
        <f>IFERROR(__xludf.DUMMYFUNCTION("""COMPUTED_VALUE"""),4.8)</f>
        <v>4.8</v>
      </c>
      <c r="J10" s="6">
        <f>IFERROR(__xludf.DUMMYFUNCTION("""COMPUTED_VALUE"""),2.0)</f>
        <v>2</v>
      </c>
      <c r="K10" s="6">
        <f>IFERROR(__xludf.DUMMYFUNCTION("""COMPUTED_VALUE"""),4.4)</f>
        <v>4.4</v>
      </c>
      <c r="L10" s="6">
        <f>IFERROR(__xludf.DUMMYFUNCTION("""COMPUTED_VALUE"""),5.0)</f>
        <v>5</v>
      </c>
      <c r="M10" s="6">
        <f>IFERROR(__xludf.DUMMYFUNCTION("""COMPUTED_VALUE"""),5.0)</f>
        <v>5</v>
      </c>
      <c r="N10" s="6">
        <f>IFERROR(__xludf.DUMMYFUNCTION("""COMPUTED_VALUE"""),5.0)</f>
        <v>5</v>
      </c>
      <c r="O10" s="6">
        <f>IFERROR(__xludf.DUMMYFUNCTION("""COMPUTED_VALUE"""),5.0)</f>
        <v>5</v>
      </c>
      <c r="P10" s="6">
        <f>IFERROR(__xludf.DUMMYFUNCTION("""COMPUTED_VALUE"""),5.0)</f>
        <v>5</v>
      </c>
      <c r="Q10" s="6" t="str">
        <f>IFERROR(__xludf.DUMMYFUNCTION("""COMPUTED_VALUE""")," ")</f>
        <v> </v>
      </c>
      <c r="R10" s="6"/>
      <c r="S10" s="8">
        <f>IFERROR(__xludf.DUMMYFUNCTION("""COMPUTED_VALUE"""),4.4350000000000005)</f>
        <v>4.435</v>
      </c>
      <c r="T10" s="12">
        <f>IFERROR(__xludf.DUMMYFUNCTION("""COMPUTED_VALUE"""),1.4783333333333335)</f>
        <v>1.478333333</v>
      </c>
      <c r="U10" s="6"/>
      <c r="V10" s="6"/>
      <c r="W10" s="6">
        <f>IFERROR(__xludf.DUMMYFUNCTION("""COMPUTED_VALUE"""),4.5)</f>
        <v>4.5</v>
      </c>
      <c r="X10" s="6"/>
      <c r="Y10" s="6">
        <f>IFERROR(__xludf.DUMMYFUNCTION("""COMPUTED_VALUE"""),2261420.0)</f>
        <v>2261420</v>
      </c>
      <c r="Z10" s="6"/>
    </row>
    <row r="11">
      <c r="A11" s="6">
        <f>IFERROR(__xludf.DUMMYFUNCTION("""COMPUTED_VALUE"""),10.0)</f>
        <v>10</v>
      </c>
      <c r="B11" s="5" t="str">
        <f>IFERROR(__xludf.DUMMYFUNCTION("""COMPUTED_VALUE"""),"HERRERA OLAYA JUAN STEVAN")</f>
        <v>HERRERA OLAYA JUAN STEVAN</v>
      </c>
      <c r="C11" s="6">
        <f>IFERROR(__xludf.DUMMYFUNCTION("""COMPUTED_VALUE"""),4.0)</f>
        <v>4</v>
      </c>
      <c r="D11" s="6">
        <f>IFERROR(__xludf.DUMMYFUNCTION("""COMPUTED_VALUE"""),3.6)</f>
        <v>3.6</v>
      </c>
      <c r="E11" s="6">
        <f>IFERROR(__xludf.DUMMYFUNCTION("""COMPUTED_VALUE"""),4.7)</f>
        <v>4.7</v>
      </c>
      <c r="F11" s="6">
        <f>IFERROR(__xludf.DUMMYFUNCTION("""COMPUTED_VALUE"""),1.5)</f>
        <v>1.5</v>
      </c>
      <c r="G11" s="6">
        <f>IFERROR(__xludf.DUMMYFUNCTION("""COMPUTED_VALUE"""),5.0)</f>
        <v>5</v>
      </c>
      <c r="H11" s="6">
        <f>IFERROR(__xludf.DUMMYFUNCTION("""COMPUTED_VALUE"""),5.0)</f>
        <v>5</v>
      </c>
      <c r="I11" s="6">
        <f>IFERROR(__xludf.DUMMYFUNCTION("""COMPUTED_VALUE"""),5.0)</f>
        <v>5</v>
      </c>
      <c r="J11" s="6">
        <f>IFERROR(__xludf.DUMMYFUNCTION("""COMPUTED_VALUE"""),5.0)</f>
        <v>5</v>
      </c>
      <c r="K11" s="6">
        <f>IFERROR(__xludf.DUMMYFUNCTION("""COMPUTED_VALUE"""),5.0)</f>
        <v>5</v>
      </c>
      <c r="L11" s="6">
        <f>IFERROR(__xludf.DUMMYFUNCTION("""COMPUTED_VALUE"""),5.0)</f>
        <v>5</v>
      </c>
      <c r="M11" s="6">
        <f>IFERROR(__xludf.DUMMYFUNCTION("""COMPUTED_VALUE"""),5.0)</f>
        <v>5</v>
      </c>
      <c r="N11" s="6">
        <f>IFERROR(__xludf.DUMMYFUNCTION("""COMPUTED_VALUE"""),5.0)</f>
        <v>5</v>
      </c>
      <c r="O11" s="6">
        <f>IFERROR(__xludf.DUMMYFUNCTION("""COMPUTED_VALUE"""),5.0)</f>
        <v>5</v>
      </c>
      <c r="P11" s="6">
        <f>IFERROR(__xludf.DUMMYFUNCTION("""COMPUTED_VALUE"""),5.0)</f>
        <v>5</v>
      </c>
      <c r="Q11" s="6" t="str">
        <f>IFERROR(__xludf.DUMMYFUNCTION("""COMPUTED_VALUE""")," ")</f>
        <v> </v>
      </c>
      <c r="R11" s="6"/>
      <c r="S11" s="8">
        <f>IFERROR(__xludf.DUMMYFUNCTION("""COMPUTED_VALUE"""),3.74)</f>
        <v>3.74</v>
      </c>
      <c r="T11" s="12">
        <f>IFERROR(__xludf.DUMMYFUNCTION("""COMPUTED_VALUE"""),1.2466666666666668)</f>
        <v>1.246666667</v>
      </c>
      <c r="U11" s="6"/>
      <c r="V11" s="6"/>
      <c r="W11" s="6">
        <f>IFERROR(__xludf.DUMMYFUNCTION("""COMPUTED_VALUE"""),5.0)</f>
        <v>5</v>
      </c>
      <c r="X11" s="6"/>
      <c r="Y11" s="6">
        <f>IFERROR(__xludf.DUMMYFUNCTION("""COMPUTED_VALUE"""),2261134.0)</f>
        <v>2261134</v>
      </c>
      <c r="Z11" s="6"/>
    </row>
    <row r="12">
      <c r="A12" s="6">
        <f>IFERROR(__xludf.DUMMYFUNCTION("""COMPUTED_VALUE"""),11.0)</f>
        <v>11</v>
      </c>
      <c r="B12" s="5" t="str">
        <f>IFERROR(__xludf.DUMMYFUNCTION("""COMPUTED_VALUE"""),"IBARRA QUICENO LYANN DAVID")</f>
        <v>IBARRA QUICENO LYANN DAVID</v>
      </c>
      <c r="C12" s="6">
        <f>IFERROR(__xludf.DUMMYFUNCTION("""COMPUTED_VALUE"""),4.5)</f>
        <v>4.5</v>
      </c>
      <c r="D12" s="6">
        <f>IFERROR(__xludf.DUMMYFUNCTION("""COMPUTED_VALUE"""),3.5)</f>
        <v>3.5</v>
      </c>
      <c r="E12" s="6">
        <f>IFERROR(__xludf.DUMMYFUNCTION("""COMPUTED_VALUE"""),4.2)</f>
        <v>4.2</v>
      </c>
      <c r="F12" s="6">
        <f>IFERROR(__xludf.DUMMYFUNCTION("""COMPUTED_VALUE"""),5.0)</f>
        <v>5</v>
      </c>
      <c r="G12" s="6">
        <f>IFERROR(__xludf.DUMMYFUNCTION("""COMPUTED_VALUE"""),4.8)</f>
        <v>4.8</v>
      </c>
      <c r="H12" s="6">
        <f>IFERROR(__xludf.DUMMYFUNCTION("""COMPUTED_VALUE"""),5.0)</f>
        <v>5</v>
      </c>
      <c r="I12" s="6">
        <f>IFERROR(__xludf.DUMMYFUNCTION("""COMPUTED_VALUE"""),4.8)</f>
        <v>4.8</v>
      </c>
      <c r="J12" s="6">
        <f>IFERROR(__xludf.DUMMYFUNCTION("""COMPUTED_VALUE"""),3.0)</f>
        <v>3</v>
      </c>
      <c r="K12" s="6">
        <f>IFERROR(__xludf.DUMMYFUNCTION("""COMPUTED_VALUE"""),4.2)</f>
        <v>4.2</v>
      </c>
      <c r="L12" s="6">
        <f>IFERROR(__xludf.DUMMYFUNCTION("""COMPUTED_VALUE"""),5.0)</f>
        <v>5</v>
      </c>
      <c r="M12" s="6">
        <f>IFERROR(__xludf.DUMMYFUNCTION("""COMPUTED_VALUE"""),5.0)</f>
        <v>5</v>
      </c>
      <c r="N12" s="6">
        <f>IFERROR(__xludf.DUMMYFUNCTION("""COMPUTED_VALUE"""),5.0)</f>
        <v>5</v>
      </c>
      <c r="O12" s="6">
        <f>IFERROR(__xludf.DUMMYFUNCTION("""COMPUTED_VALUE"""),4.25)</f>
        <v>4.25</v>
      </c>
      <c r="P12" s="6">
        <f>IFERROR(__xludf.DUMMYFUNCTION("""COMPUTED_VALUE"""),5.0)</f>
        <v>5</v>
      </c>
      <c r="Q12" s="6" t="str">
        <f>IFERROR(__xludf.DUMMYFUNCTION("""COMPUTED_VALUE""")," ")</f>
        <v> </v>
      </c>
      <c r="R12" s="6"/>
      <c r="S12" s="8">
        <f>IFERROR(__xludf.DUMMYFUNCTION("""COMPUTED_VALUE"""),4.35)</f>
        <v>4.35</v>
      </c>
      <c r="T12" s="12">
        <f>IFERROR(__xludf.DUMMYFUNCTION("""COMPUTED_VALUE"""),1.45)</f>
        <v>1.45</v>
      </c>
      <c r="U12" s="6"/>
      <c r="V12" s="6"/>
      <c r="W12" s="6">
        <f>IFERROR(__xludf.DUMMYFUNCTION("""COMPUTED_VALUE"""),4.5)</f>
        <v>4.5</v>
      </c>
      <c r="X12" s="6"/>
      <c r="Y12" s="6">
        <f>IFERROR(__xludf.DUMMYFUNCTION("""COMPUTED_VALUE"""),2261742.0)</f>
        <v>2261742</v>
      </c>
      <c r="Z12" s="6"/>
    </row>
    <row r="13">
      <c r="A13" s="6">
        <f>IFERROR(__xludf.DUMMYFUNCTION("""COMPUTED_VALUE"""),12.0)</f>
        <v>12</v>
      </c>
      <c r="B13" s="5" t="str">
        <f>IFERROR(__xludf.DUMMYFUNCTION("""COMPUTED_VALUE"""),"JOYA CORDERO NEWMAN ALEJANDRO")</f>
        <v>JOYA CORDERO NEWMAN ALEJANDRO</v>
      </c>
      <c r="C13" s="6">
        <f>IFERROR(__xludf.DUMMYFUNCTION("""COMPUTED_VALUE"""),5.0)</f>
        <v>5</v>
      </c>
      <c r="D13" s="6">
        <f>IFERROR(__xludf.DUMMYFUNCTION("""COMPUTED_VALUE"""),3.5)</f>
        <v>3.5</v>
      </c>
      <c r="E13" s="6">
        <f>IFERROR(__xludf.DUMMYFUNCTION("""COMPUTED_VALUE"""),4.1)</f>
        <v>4.1</v>
      </c>
      <c r="F13" s="6">
        <f>IFERROR(__xludf.DUMMYFUNCTION("""COMPUTED_VALUE"""),4.5)</f>
        <v>4.5</v>
      </c>
      <c r="G13" s="6">
        <f>IFERROR(__xludf.DUMMYFUNCTION("""COMPUTED_VALUE"""),4.8)</f>
        <v>4.8</v>
      </c>
      <c r="H13" s="6">
        <f>IFERROR(__xludf.DUMMYFUNCTION("""COMPUTED_VALUE"""),5.0)</f>
        <v>5</v>
      </c>
      <c r="I13" s="6">
        <f>IFERROR(__xludf.DUMMYFUNCTION("""COMPUTED_VALUE"""),4.8)</f>
        <v>4.8</v>
      </c>
      <c r="J13" s="6">
        <f>IFERROR(__xludf.DUMMYFUNCTION("""COMPUTED_VALUE"""),3.0)</f>
        <v>3</v>
      </c>
      <c r="K13" s="6">
        <f>IFERROR(__xludf.DUMMYFUNCTION("""COMPUTED_VALUE"""),4.2)</f>
        <v>4.2</v>
      </c>
      <c r="L13" s="6">
        <f>IFERROR(__xludf.DUMMYFUNCTION("""COMPUTED_VALUE"""),5.0)</f>
        <v>5</v>
      </c>
      <c r="M13" s="6">
        <f>IFERROR(__xludf.DUMMYFUNCTION("""COMPUTED_VALUE"""),5.0)</f>
        <v>5</v>
      </c>
      <c r="N13" s="6">
        <f>IFERROR(__xludf.DUMMYFUNCTION("""COMPUTED_VALUE"""),5.0)</f>
        <v>5</v>
      </c>
      <c r="O13" s="6">
        <f>IFERROR(__xludf.DUMMYFUNCTION("""COMPUTED_VALUE"""),4.38)</f>
        <v>4.38</v>
      </c>
      <c r="P13" s="6">
        <f>IFERROR(__xludf.DUMMYFUNCTION("""COMPUTED_VALUE"""),5.0)</f>
        <v>5</v>
      </c>
      <c r="Q13" s="6">
        <f>IFERROR(__xludf.DUMMYFUNCTION("""COMPUTED_VALUE"""),4.5)</f>
        <v>4.5</v>
      </c>
      <c r="R13" s="6"/>
      <c r="S13" s="8">
        <f>IFERROR(__xludf.DUMMYFUNCTION("""COMPUTED_VALUE"""),4.305)</f>
        <v>4.305</v>
      </c>
      <c r="T13" s="12">
        <f>IFERROR(__xludf.DUMMYFUNCTION("""COMPUTED_VALUE"""),1.4349999999999998)</f>
        <v>1.435</v>
      </c>
      <c r="U13" s="6"/>
      <c r="V13" s="6"/>
      <c r="W13" s="6">
        <f>IFERROR(__xludf.DUMMYFUNCTION("""COMPUTED_VALUE"""),4.5)</f>
        <v>4.5</v>
      </c>
      <c r="X13" s="6"/>
      <c r="Y13" s="6">
        <f>IFERROR(__xludf.DUMMYFUNCTION("""COMPUTED_VALUE"""),2261667.0)</f>
        <v>2261667</v>
      </c>
      <c r="Z13" s="6"/>
    </row>
    <row r="14">
      <c r="A14" s="6">
        <f>IFERROR(__xludf.DUMMYFUNCTION("""COMPUTED_VALUE"""),13.0)</f>
        <v>13</v>
      </c>
      <c r="B14" s="5" t="str">
        <f>IFERROR(__xludf.DUMMYFUNCTION("""COMPUTED_VALUE"""),"MARTINEZ BARRIOS JOSE DAVID")</f>
        <v>MARTINEZ BARRIOS JOSE DAVID</v>
      </c>
      <c r="C14" s="6">
        <f>IFERROR(__xludf.DUMMYFUNCTION("""COMPUTED_VALUE"""),5.0)</f>
        <v>5</v>
      </c>
      <c r="D14" s="6">
        <f>IFERROR(__xludf.DUMMYFUNCTION("""COMPUTED_VALUE"""),4.5)</f>
        <v>4.5</v>
      </c>
      <c r="E14" s="6">
        <f>IFERROR(__xludf.DUMMYFUNCTION("""COMPUTED_VALUE"""),5.0)</f>
        <v>5</v>
      </c>
      <c r="F14" s="6">
        <f>IFERROR(__xludf.DUMMYFUNCTION("""COMPUTED_VALUE"""),4.5)</f>
        <v>4.5</v>
      </c>
      <c r="G14" s="6">
        <f>IFERROR(__xludf.DUMMYFUNCTION("""COMPUTED_VALUE"""),4.9)</f>
        <v>4.9</v>
      </c>
      <c r="H14" s="6">
        <f>IFERROR(__xludf.DUMMYFUNCTION("""COMPUTED_VALUE"""),5.0)</f>
        <v>5</v>
      </c>
      <c r="I14" s="6">
        <f>IFERROR(__xludf.DUMMYFUNCTION("""COMPUTED_VALUE"""),4.9)</f>
        <v>4.9</v>
      </c>
      <c r="J14" s="6">
        <f>IFERROR(__xludf.DUMMYFUNCTION("""COMPUTED_VALUE"""),3.5)</f>
        <v>3.5</v>
      </c>
      <c r="K14" s="6">
        <f>IFERROR(__xludf.DUMMYFUNCTION("""COMPUTED_VALUE"""),5.0)</f>
        <v>5</v>
      </c>
      <c r="L14" s="6">
        <f>IFERROR(__xludf.DUMMYFUNCTION("""COMPUTED_VALUE"""),5.0)</f>
        <v>5</v>
      </c>
      <c r="M14" s="6">
        <f>IFERROR(__xludf.DUMMYFUNCTION("""COMPUTED_VALUE"""),5.0)</f>
        <v>5</v>
      </c>
      <c r="N14" s="6">
        <f>IFERROR(__xludf.DUMMYFUNCTION("""COMPUTED_VALUE"""),5.0)</f>
        <v>5</v>
      </c>
      <c r="O14" s="6">
        <f>IFERROR(__xludf.DUMMYFUNCTION("""COMPUTED_VALUE"""),5.0)</f>
        <v>5</v>
      </c>
      <c r="P14" s="6">
        <f>IFERROR(__xludf.DUMMYFUNCTION("""COMPUTED_VALUE"""),5.0)</f>
        <v>5</v>
      </c>
      <c r="Q14" s="6" t="str">
        <f>IFERROR(__xludf.DUMMYFUNCTION("""COMPUTED_VALUE""")," ")</f>
        <v> </v>
      </c>
      <c r="R14" s="6"/>
      <c r="S14" s="8">
        <f>IFERROR(__xludf.DUMMYFUNCTION("""COMPUTED_VALUE"""),4.755000000000001)</f>
        <v>4.755</v>
      </c>
      <c r="T14" s="12">
        <f>IFERROR(__xludf.DUMMYFUNCTION("""COMPUTED_VALUE"""),1.5850000000000002)</f>
        <v>1.585</v>
      </c>
      <c r="U14" s="6"/>
      <c r="V14" s="6"/>
      <c r="W14" s="6">
        <f>IFERROR(__xludf.DUMMYFUNCTION("""COMPUTED_VALUE"""),4.8)</f>
        <v>4.8</v>
      </c>
      <c r="X14" s="6"/>
      <c r="Y14" s="6">
        <f>IFERROR(__xludf.DUMMYFUNCTION("""COMPUTED_VALUE"""),2262143.0)</f>
        <v>2262143</v>
      </c>
      <c r="Z14" s="6"/>
    </row>
    <row r="15">
      <c r="A15" s="6">
        <f>IFERROR(__xludf.DUMMYFUNCTION("""COMPUTED_VALUE"""),14.0)</f>
        <v>14</v>
      </c>
      <c r="B15" s="5" t="str">
        <f>IFERROR(__xludf.DUMMYFUNCTION("""COMPUTED_VALUE"""),"MONTESINO SILVA JOSE DAVID")</f>
        <v>MONTESINO SILVA JOSE DAVID</v>
      </c>
      <c r="C15" s="6">
        <f>IFERROR(__xludf.DUMMYFUNCTION("""COMPUTED_VALUE"""),4.5)</f>
        <v>4.5</v>
      </c>
      <c r="D15" s="6">
        <f>IFERROR(__xludf.DUMMYFUNCTION("""COMPUTED_VALUE"""),4.0)</f>
        <v>4</v>
      </c>
      <c r="E15" s="6">
        <f>IFERROR(__xludf.DUMMYFUNCTION("""COMPUTED_VALUE"""),4.4)</f>
        <v>4.4</v>
      </c>
      <c r="F15" s="6">
        <f>IFERROR(__xludf.DUMMYFUNCTION("""COMPUTED_VALUE"""),4.5)</f>
        <v>4.5</v>
      </c>
      <c r="G15" s="6">
        <f>IFERROR(__xludf.DUMMYFUNCTION("""COMPUTED_VALUE"""),4.8)</f>
        <v>4.8</v>
      </c>
      <c r="H15" s="6">
        <f>IFERROR(__xludf.DUMMYFUNCTION("""COMPUTED_VALUE"""),5.0)</f>
        <v>5</v>
      </c>
      <c r="I15" s="6">
        <f>IFERROR(__xludf.DUMMYFUNCTION("""COMPUTED_VALUE"""),4.8)</f>
        <v>4.8</v>
      </c>
      <c r="J15" s="6">
        <f>IFERROR(__xludf.DUMMYFUNCTION("""COMPUTED_VALUE"""),2.0)</f>
        <v>2</v>
      </c>
      <c r="K15" s="6">
        <f>IFERROR(__xludf.DUMMYFUNCTION("""COMPUTED_VALUE"""),5.0)</f>
        <v>5</v>
      </c>
      <c r="L15" s="6">
        <f>IFERROR(__xludf.DUMMYFUNCTION("""COMPUTED_VALUE"""),5.0)</f>
        <v>5</v>
      </c>
      <c r="M15" s="6">
        <f>IFERROR(__xludf.DUMMYFUNCTION("""COMPUTED_VALUE"""),5.0)</f>
        <v>5</v>
      </c>
      <c r="N15" s="6">
        <f>IFERROR(__xludf.DUMMYFUNCTION("""COMPUTED_VALUE"""),5.0)</f>
        <v>5</v>
      </c>
      <c r="O15" s="6">
        <f>IFERROR(__xludf.DUMMYFUNCTION("""COMPUTED_VALUE"""),5.0)</f>
        <v>5</v>
      </c>
      <c r="P15" s="6">
        <f>IFERROR(__xludf.DUMMYFUNCTION("""COMPUTED_VALUE"""),5.0)</f>
        <v>5</v>
      </c>
      <c r="Q15" s="6">
        <f>IFERROR(__xludf.DUMMYFUNCTION("""COMPUTED_VALUE"""),4.75)</f>
        <v>4.75</v>
      </c>
      <c r="R15" s="6"/>
      <c r="S15" s="8">
        <f>IFERROR(__xludf.DUMMYFUNCTION("""COMPUTED_VALUE"""),4.415)</f>
        <v>4.415</v>
      </c>
      <c r="T15" s="12">
        <f>IFERROR(__xludf.DUMMYFUNCTION("""COMPUTED_VALUE"""),1.4716666666666667)</f>
        <v>1.471666667</v>
      </c>
      <c r="U15" s="6"/>
      <c r="V15" s="6"/>
      <c r="W15" s="6">
        <f>IFERROR(__xludf.DUMMYFUNCTION("""COMPUTED_VALUE"""),4.6)</f>
        <v>4.6</v>
      </c>
      <c r="X15" s="6"/>
      <c r="Y15" s="6">
        <f>IFERROR(__xludf.DUMMYFUNCTION("""COMPUTED_VALUE"""),2261135.0)</f>
        <v>2261135</v>
      </c>
      <c r="Z15" s="6"/>
    </row>
    <row r="16">
      <c r="A16" s="6">
        <f>IFERROR(__xludf.DUMMYFUNCTION("""COMPUTED_VALUE"""),15.0)</f>
        <v>15</v>
      </c>
      <c r="B16" s="5" t="str">
        <f>IFERROR(__xludf.DUMMYFUNCTION("""COMPUTED_VALUE"""),"OLIVELLA DIAZ HECTOR MIGUEL")</f>
        <v>OLIVELLA DIAZ HECTOR MIGUEL</v>
      </c>
      <c r="C16" s="6">
        <f>IFERROR(__xludf.DUMMYFUNCTION("""COMPUTED_VALUE"""),5.0)</f>
        <v>5</v>
      </c>
      <c r="D16" s="6">
        <f>IFERROR(__xludf.DUMMYFUNCTION("""COMPUTED_VALUE"""),4.5)</f>
        <v>4.5</v>
      </c>
      <c r="E16" s="6">
        <f>IFERROR(__xludf.DUMMYFUNCTION("""COMPUTED_VALUE"""),4.1)</f>
        <v>4.1</v>
      </c>
      <c r="F16" s="6">
        <f>IFERROR(__xludf.DUMMYFUNCTION("""COMPUTED_VALUE"""),3.5)</f>
        <v>3.5</v>
      </c>
      <c r="G16" s="6">
        <f>IFERROR(__xludf.DUMMYFUNCTION("""COMPUTED_VALUE"""),4.6)</f>
        <v>4.6</v>
      </c>
      <c r="H16" s="6">
        <f>IFERROR(__xludf.DUMMYFUNCTION("""COMPUTED_VALUE"""),5.0)</f>
        <v>5</v>
      </c>
      <c r="I16" s="6">
        <f>IFERROR(__xludf.DUMMYFUNCTION("""COMPUTED_VALUE"""),4.6)</f>
        <v>4.6</v>
      </c>
      <c r="J16" s="6">
        <f>IFERROR(__xludf.DUMMYFUNCTION("""COMPUTED_VALUE"""),3.0)</f>
        <v>3</v>
      </c>
      <c r="K16" s="6">
        <f>IFERROR(__xludf.DUMMYFUNCTION("""COMPUTED_VALUE"""),5.0)</f>
        <v>5</v>
      </c>
      <c r="L16" s="6">
        <f>IFERROR(__xludf.DUMMYFUNCTION("""COMPUTED_VALUE"""),5.0)</f>
        <v>5</v>
      </c>
      <c r="M16" s="6">
        <f>IFERROR(__xludf.DUMMYFUNCTION("""COMPUTED_VALUE"""),5.0)</f>
        <v>5</v>
      </c>
      <c r="N16" s="6">
        <f>IFERROR(__xludf.DUMMYFUNCTION("""COMPUTED_VALUE"""),5.0)</f>
        <v>5</v>
      </c>
      <c r="O16" s="6">
        <f>IFERROR(__xludf.DUMMYFUNCTION("""COMPUTED_VALUE"""),0.0)</f>
        <v>0</v>
      </c>
      <c r="P16" s="6">
        <f>IFERROR(__xludf.DUMMYFUNCTION("""COMPUTED_VALUE"""),5.0)</f>
        <v>5</v>
      </c>
      <c r="Q16" s="6">
        <f>IFERROR(__xludf.DUMMYFUNCTION("""COMPUTED_VALUE"""),5.0)</f>
        <v>5</v>
      </c>
      <c r="R16" s="6"/>
      <c r="S16" s="8">
        <f>IFERROR(__xludf.DUMMYFUNCTION("""COMPUTED_VALUE"""),4.3149999999999995)</f>
        <v>4.315</v>
      </c>
      <c r="T16" s="12">
        <f>IFERROR(__xludf.DUMMYFUNCTION("""COMPUTED_VALUE"""),1.4383333333333332)</f>
        <v>1.438333333</v>
      </c>
      <c r="U16" s="6"/>
      <c r="V16" s="6"/>
      <c r="W16" s="6">
        <f>IFERROR(__xludf.DUMMYFUNCTION("""COMPUTED_VALUE"""),4.1)</f>
        <v>4.1</v>
      </c>
      <c r="X16" s="6"/>
      <c r="Y16" s="6">
        <f>IFERROR(__xludf.DUMMYFUNCTION("""COMPUTED_VALUE"""),2261992.0)</f>
        <v>2261992</v>
      </c>
      <c r="Z16" s="6"/>
    </row>
    <row r="17">
      <c r="A17" s="6">
        <f>IFERROR(__xludf.DUMMYFUNCTION("""COMPUTED_VALUE"""),16.0)</f>
        <v>16</v>
      </c>
      <c r="B17" s="5" t="str">
        <f>IFERROR(__xludf.DUMMYFUNCTION("""COMPUTED_VALUE"""),"OÑATE FRAGOZO ALBERTH JOSE")</f>
        <v>OÑATE FRAGOZO ALBERTH JOSE</v>
      </c>
      <c r="C17" s="6">
        <f>IFERROR(__xludf.DUMMYFUNCTION("""COMPUTED_VALUE"""),4.5)</f>
        <v>4.5</v>
      </c>
      <c r="D17" s="6">
        <f>IFERROR(__xludf.DUMMYFUNCTION("""COMPUTED_VALUE"""),3.5)</f>
        <v>3.5</v>
      </c>
      <c r="E17" s="6">
        <f>IFERROR(__xludf.DUMMYFUNCTION("""COMPUTED_VALUE"""),2.5)</f>
        <v>2.5</v>
      </c>
      <c r="F17" s="6">
        <f>IFERROR(__xludf.DUMMYFUNCTION("""COMPUTED_VALUE"""),3.5)</f>
        <v>3.5</v>
      </c>
      <c r="G17" s="6">
        <f>IFERROR(__xludf.DUMMYFUNCTION("""COMPUTED_VALUE"""),4.9)</f>
        <v>4.9</v>
      </c>
      <c r="H17" s="6">
        <f>IFERROR(__xludf.DUMMYFUNCTION("""COMPUTED_VALUE"""),5.0)</f>
        <v>5</v>
      </c>
      <c r="I17" s="6">
        <f>IFERROR(__xludf.DUMMYFUNCTION("""COMPUTED_VALUE"""),4.9)</f>
        <v>4.9</v>
      </c>
      <c r="J17" s="6">
        <f>IFERROR(__xludf.DUMMYFUNCTION("""COMPUTED_VALUE"""),3.0)</f>
        <v>3</v>
      </c>
      <c r="K17" s="6">
        <f>IFERROR(__xludf.DUMMYFUNCTION("""COMPUTED_VALUE"""),5.0)</f>
        <v>5</v>
      </c>
      <c r="L17" s="6">
        <f>IFERROR(__xludf.DUMMYFUNCTION("""COMPUTED_VALUE"""),5.0)</f>
        <v>5</v>
      </c>
      <c r="M17" s="6">
        <f>IFERROR(__xludf.DUMMYFUNCTION("""COMPUTED_VALUE"""),5.0)</f>
        <v>5</v>
      </c>
      <c r="N17" s="6">
        <f>IFERROR(__xludf.DUMMYFUNCTION("""COMPUTED_VALUE"""),5.0)</f>
        <v>5</v>
      </c>
      <c r="O17" s="6">
        <f>IFERROR(__xludf.DUMMYFUNCTION("""COMPUTED_VALUE"""),4.6)</f>
        <v>4.6</v>
      </c>
      <c r="P17" s="6">
        <f>IFERROR(__xludf.DUMMYFUNCTION("""COMPUTED_VALUE"""),5.0)</f>
        <v>5</v>
      </c>
      <c r="Q17" s="6" t="str">
        <f>IFERROR(__xludf.DUMMYFUNCTION("""COMPUTED_VALUE""")," ")</f>
        <v> </v>
      </c>
      <c r="R17" s="6"/>
      <c r="S17" s="8">
        <f>IFERROR(__xludf.DUMMYFUNCTION("""COMPUTED_VALUE"""),3.73)</f>
        <v>3.73</v>
      </c>
      <c r="T17" s="12">
        <f>IFERROR(__xludf.DUMMYFUNCTION("""COMPUTED_VALUE"""),1.2433333333333334)</f>
        <v>1.243333333</v>
      </c>
      <c r="U17" s="6"/>
      <c r="V17" s="6"/>
      <c r="W17" s="6">
        <f>IFERROR(__xludf.DUMMYFUNCTION("""COMPUTED_VALUE"""),4.7)</f>
        <v>4.7</v>
      </c>
      <c r="X17" s="6"/>
      <c r="Y17" s="6">
        <f>IFERROR(__xludf.DUMMYFUNCTION("""COMPUTED_VALUE"""),2261741.0)</f>
        <v>2261741</v>
      </c>
      <c r="Z17" s="6"/>
    </row>
    <row r="18">
      <c r="A18" s="6">
        <f>IFERROR(__xludf.DUMMYFUNCTION("""COMPUTED_VALUE"""),17.0)</f>
        <v>17</v>
      </c>
      <c r="B18" s="5" t="str">
        <f>IFERROR(__xludf.DUMMYFUNCTION("""COMPUTED_VALUE"""),"PEREZ DIAZ HEIDER STIVEN")</f>
        <v>PEREZ DIAZ HEIDER STIVEN</v>
      </c>
      <c r="C18" s="6">
        <f>IFERROR(__xludf.DUMMYFUNCTION("""COMPUTED_VALUE"""),4.0)</f>
        <v>4</v>
      </c>
      <c r="D18" s="6">
        <f>IFERROR(__xludf.DUMMYFUNCTION("""COMPUTED_VALUE"""),3.5)</f>
        <v>3.5</v>
      </c>
      <c r="E18" s="6">
        <f>IFERROR(__xludf.DUMMYFUNCTION("""COMPUTED_VALUE"""),3.2)</f>
        <v>3.2</v>
      </c>
      <c r="F18" s="6">
        <f>IFERROR(__xludf.DUMMYFUNCTION("""COMPUTED_VALUE"""),3.5)</f>
        <v>3.5</v>
      </c>
      <c r="G18" s="6">
        <f>IFERROR(__xludf.DUMMYFUNCTION("""COMPUTED_VALUE"""),4.8)</f>
        <v>4.8</v>
      </c>
      <c r="H18" s="6">
        <f>IFERROR(__xludf.DUMMYFUNCTION("""COMPUTED_VALUE"""),5.0)</f>
        <v>5</v>
      </c>
      <c r="I18" s="6">
        <f>IFERROR(__xludf.DUMMYFUNCTION("""COMPUTED_VALUE"""),4.8)</f>
        <v>4.8</v>
      </c>
      <c r="J18" s="6">
        <f>IFERROR(__xludf.DUMMYFUNCTION("""COMPUTED_VALUE"""),2.0)</f>
        <v>2</v>
      </c>
      <c r="K18" s="6">
        <f>IFERROR(__xludf.DUMMYFUNCTION("""COMPUTED_VALUE"""),4.5)</f>
        <v>4.5</v>
      </c>
      <c r="L18" s="6">
        <f>IFERROR(__xludf.DUMMYFUNCTION("""COMPUTED_VALUE"""),5.0)</f>
        <v>5</v>
      </c>
      <c r="M18" s="6">
        <f>IFERROR(__xludf.DUMMYFUNCTION("""COMPUTED_VALUE"""),5.0)</f>
        <v>5</v>
      </c>
      <c r="N18" s="6">
        <f>IFERROR(__xludf.DUMMYFUNCTION("""COMPUTED_VALUE"""),5.0)</f>
        <v>5</v>
      </c>
      <c r="O18" s="6">
        <f>IFERROR(__xludf.DUMMYFUNCTION("""COMPUTED_VALUE"""),5.0)</f>
        <v>5</v>
      </c>
      <c r="P18" s="6">
        <f>IFERROR(__xludf.DUMMYFUNCTION("""COMPUTED_VALUE"""),5.0)</f>
        <v>5</v>
      </c>
      <c r="Q18" s="6" t="str">
        <f>IFERROR(__xludf.DUMMYFUNCTION("""COMPUTED_VALUE""")," ")</f>
        <v> </v>
      </c>
      <c r="R18" s="6"/>
      <c r="S18" s="8">
        <f>IFERROR(__xludf.DUMMYFUNCTION("""COMPUTED_VALUE"""),3.775)</f>
        <v>3.775</v>
      </c>
      <c r="T18" s="12">
        <f>IFERROR(__xludf.DUMMYFUNCTION("""COMPUTED_VALUE"""),1.2583333333333333)</f>
        <v>1.258333333</v>
      </c>
      <c r="U18" s="6"/>
      <c r="V18" s="6"/>
      <c r="W18" s="6">
        <f>IFERROR(__xludf.DUMMYFUNCTION("""COMPUTED_VALUE"""),4.5)</f>
        <v>4.5</v>
      </c>
      <c r="X18" s="6"/>
      <c r="Y18" s="6">
        <f>IFERROR(__xludf.DUMMYFUNCTION("""COMPUTED_VALUE"""),2262124.0)</f>
        <v>2262124</v>
      </c>
      <c r="Z18" s="6"/>
    </row>
    <row r="19">
      <c r="A19" s="6">
        <f>IFERROR(__xludf.DUMMYFUNCTION("""COMPUTED_VALUE"""),18.0)</f>
        <v>18</v>
      </c>
      <c r="B19" s="5" t="str">
        <f>IFERROR(__xludf.DUMMYFUNCTION("""COMPUTED_VALUE"""),"PINILLA MOTTA MIGUEL ANGEL")</f>
        <v>PINILLA MOTTA MIGUEL ANGEL</v>
      </c>
      <c r="C19" s="6">
        <f>IFERROR(__xludf.DUMMYFUNCTION("""COMPUTED_VALUE"""),4.8)</f>
        <v>4.8</v>
      </c>
      <c r="D19" s="6">
        <f>IFERROR(__xludf.DUMMYFUNCTION("""COMPUTED_VALUE"""),4.5)</f>
        <v>4.5</v>
      </c>
      <c r="E19" s="6">
        <f>IFERROR(__xludf.DUMMYFUNCTION("""COMPUTED_VALUE"""),4.5)</f>
        <v>4.5</v>
      </c>
      <c r="F19" s="6">
        <f>IFERROR(__xludf.DUMMYFUNCTION("""COMPUTED_VALUE"""),3.5)</f>
        <v>3.5</v>
      </c>
      <c r="G19" s="6">
        <f>IFERROR(__xludf.DUMMYFUNCTION("""COMPUTED_VALUE"""),4.7)</f>
        <v>4.7</v>
      </c>
      <c r="H19" s="6">
        <f>IFERROR(__xludf.DUMMYFUNCTION("""COMPUTED_VALUE"""),5.0)</f>
        <v>5</v>
      </c>
      <c r="I19" s="6">
        <f>IFERROR(__xludf.DUMMYFUNCTION("""COMPUTED_VALUE"""),4.7)</f>
        <v>4.7</v>
      </c>
      <c r="J19" s="6">
        <f>IFERROR(__xludf.DUMMYFUNCTION("""COMPUTED_VALUE"""),3.0)</f>
        <v>3</v>
      </c>
      <c r="K19" s="6">
        <f>IFERROR(__xludf.DUMMYFUNCTION("""COMPUTED_VALUE"""),5.0)</f>
        <v>5</v>
      </c>
      <c r="L19" s="6">
        <f>IFERROR(__xludf.DUMMYFUNCTION("""COMPUTED_VALUE"""),5.0)</f>
        <v>5</v>
      </c>
      <c r="M19" s="6">
        <f>IFERROR(__xludf.DUMMYFUNCTION("""COMPUTED_VALUE"""),5.0)</f>
        <v>5</v>
      </c>
      <c r="N19" s="6">
        <f>IFERROR(__xludf.DUMMYFUNCTION("""COMPUTED_VALUE"""),5.0)</f>
        <v>5</v>
      </c>
      <c r="O19" s="6">
        <f>IFERROR(__xludf.DUMMYFUNCTION("""COMPUTED_VALUE"""),2.46)</f>
        <v>2.46</v>
      </c>
      <c r="P19" s="6">
        <f>IFERROR(__xludf.DUMMYFUNCTION("""COMPUTED_VALUE"""),5.0)</f>
        <v>5</v>
      </c>
      <c r="Q19" s="6">
        <f>IFERROR(__xludf.DUMMYFUNCTION("""COMPUTED_VALUE"""),4.5)</f>
        <v>4.5</v>
      </c>
      <c r="R19" s="6"/>
      <c r="S19" s="8">
        <f>IFERROR(__xludf.DUMMYFUNCTION("""COMPUTED_VALUE"""),4.385000000000001)</f>
        <v>4.385</v>
      </c>
      <c r="T19" s="12">
        <f>IFERROR(__xludf.DUMMYFUNCTION("""COMPUTED_VALUE"""),1.461666666666667)</f>
        <v>1.461666667</v>
      </c>
      <c r="U19" s="6"/>
      <c r="V19" s="6"/>
      <c r="W19" s="6">
        <f>IFERROR(__xludf.DUMMYFUNCTION("""COMPUTED_VALUE"""),4.4)</f>
        <v>4.4</v>
      </c>
      <c r="X19" s="6"/>
      <c r="Y19" s="6">
        <f>IFERROR(__xludf.DUMMYFUNCTION("""COMPUTED_VALUE"""),2262014.0)</f>
        <v>2262014</v>
      </c>
      <c r="Z19" s="6"/>
    </row>
    <row r="20">
      <c r="A20" s="6">
        <f>IFERROR(__xludf.DUMMYFUNCTION("""COMPUTED_VALUE"""),19.0)</f>
        <v>19</v>
      </c>
      <c r="B20" s="5" t="str">
        <f>IFERROR(__xludf.DUMMYFUNCTION("""COMPUTED_VALUE"""),"POVEDA DUARTE ELIAN")</f>
        <v>POVEDA DUARTE ELIAN</v>
      </c>
      <c r="C20" s="6">
        <f>IFERROR(__xludf.DUMMYFUNCTION("""COMPUTED_VALUE"""),4.5)</f>
        <v>4.5</v>
      </c>
      <c r="D20" s="6">
        <f>IFERROR(__xludf.DUMMYFUNCTION("""COMPUTED_VALUE"""),3.5)</f>
        <v>3.5</v>
      </c>
      <c r="E20" s="6">
        <f>IFERROR(__xludf.DUMMYFUNCTION("""COMPUTED_VALUE"""),4.2)</f>
        <v>4.2</v>
      </c>
      <c r="F20" s="6">
        <f>IFERROR(__xludf.DUMMYFUNCTION("""COMPUTED_VALUE"""),3.5)</f>
        <v>3.5</v>
      </c>
      <c r="G20" s="6">
        <f>IFERROR(__xludf.DUMMYFUNCTION("""COMPUTED_VALUE"""),4.6)</f>
        <v>4.6</v>
      </c>
      <c r="H20" s="6">
        <f>IFERROR(__xludf.DUMMYFUNCTION("""COMPUTED_VALUE"""),5.0)</f>
        <v>5</v>
      </c>
      <c r="I20" s="6">
        <f>IFERROR(__xludf.DUMMYFUNCTION("""COMPUTED_VALUE"""),4.6)</f>
        <v>4.6</v>
      </c>
      <c r="J20" s="6">
        <f>IFERROR(__xludf.DUMMYFUNCTION("""COMPUTED_VALUE"""),3.0)</f>
        <v>3</v>
      </c>
      <c r="K20" s="6">
        <f>IFERROR(__xludf.DUMMYFUNCTION("""COMPUTED_VALUE"""),4.4)</f>
        <v>4.4</v>
      </c>
      <c r="L20" s="6">
        <f>IFERROR(__xludf.DUMMYFUNCTION("""COMPUTED_VALUE"""),5.0)</f>
        <v>5</v>
      </c>
      <c r="M20" s="6">
        <f>IFERROR(__xludf.DUMMYFUNCTION("""COMPUTED_VALUE"""),5.0)</f>
        <v>5</v>
      </c>
      <c r="N20" s="6">
        <f>IFERROR(__xludf.DUMMYFUNCTION("""COMPUTED_VALUE"""),5.0)</f>
        <v>5</v>
      </c>
      <c r="O20" s="6">
        <f>IFERROR(__xludf.DUMMYFUNCTION("""COMPUTED_VALUE"""),1.0)</f>
        <v>1</v>
      </c>
      <c r="P20" s="6">
        <f>IFERROR(__xludf.DUMMYFUNCTION("""COMPUTED_VALUE"""),5.0)</f>
        <v>5</v>
      </c>
      <c r="Q20" s="6" t="str">
        <f>IFERROR(__xludf.DUMMYFUNCTION("""COMPUTED_VALUE""")," ")</f>
        <v> </v>
      </c>
      <c r="R20" s="6"/>
      <c r="S20" s="8">
        <f>IFERROR(__xludf.DUMMYFUNCTION("""COMPUTED_VALUE"""),4.01)</f>
        <v>4.01</v>
      </c>
      <c r="T20" s="12">
        <f>IFERROR(__xludf.DUMMYFUNCTION("""COMPUTED_VALUE"""),1.3366666666666667)</f>
        <v>1.336666667</v>
      </c>
      <c r="U20" s="6"/>
      <c r="V20" s="6"/>
      <c r="W20" s="6">
        <f>IFERROR(__xludf.DUMMYFUNCTION("""COMPUTED_VALUE"""),4.1)</f>
        <v>4.1</v>
      </c>
      <c r="X20" s="6"/>
      <c r="Y20" s="6">
        <f>IFERROR(__xludf.DUMMYFUNCTION("""COMPUTED_VALUE"""),2261852.0)</f>
        <v>2261852</v>
      </c>
      <c r="Z20" s="6"/>
    </row>
    <row r="21">
      <c r="A21" s="6">
        <f>IFERROR(__xludf.DUMMYFUNCTION("""COMPUTED_VALUE"""),20.0)</f>
        <v>20</v>
      </c>
      <c r="B21" s="5" t="str">
        <f>IFERROR(__xludf.DUMMYFUNCTION("""COMPUTED_VALUE"""),"REMOLINA BAYONA JUAN DAVID")</f>
        <v>REMOLINA BAYONA JUAN DAVID</v>
      </c>
      <c r="C21" s="6">
        <f>IFERROR(__xludf.DUMMYFUNCTION("""COMPUTED_VALUE"""),5.0)</f>
        <v>5</v>
      </c>
      <c r="D21" s="6">
        <f>IFERROR(__xludf.DUMMYFUNCTION("""COMPUTED_VALUE"""),4.0)</f>
        <v>4</v>
      </c>
      <c r="E21" s="6">
        <f>IFERROR(__xludf.DUMMYFUNCTION("""COMPUTED_VALUE"""),5.0)</f>
        <v>5</v>
      </c>
      <c r="F21" s="6">
        <f>IFERROR(__xludf.DUMMYFUNCTION("""COMPUTED_VALUE"""),4.5)</f>
        <v>4.5</v>
      </c>
      <c r="G21" s="6">
        <f>IFERROR(__xludf.DUMMYFUNCTION("""COMPUTED_VALUE"""),4.3)</f>
        <v>4.3</v>
      </c>
      <c r="H21" s="6">
        <f>IFERROR(__xludf.DUMMYFUNCTION("""COMPUTED_VALUE"""),4.6)</f>
        <v>4.6</v>
      </c>
      <c r="I21" s="6">
        <f>IFERROR(__xludf.DUMMYFUNCTION("""COMPUTED_VALUE"""),4.3)</f>
        <v>4.3</v>
      </c>
      <c r="J21" s="6">
        <f>IFERROR(__xludf.DUMMYFUNCTION("""COMPUTED_VALUE"""),2.0)</f>
        <v>2</v>
      </c>
      <c r="K21" s="6">
        <f>IFERROR(__xludf.DUMMYFUNCTION("""COMPUTED_VALUE"""),5.0)</f>
        <v>5</v>
      </c>
      <c r="L21" s="6">
        <f>IFERROR(__xludf.DUMMYFUNCTION("""COMPUTED_VALUE"""),5.0)</f>
        <v>5</v>
      </c>
      <c r="M21" s="6">
        <f>IFERROR(__xludf.DUMMYFUNCTION("""COMPUTED_VALUE"""),5.0)</f>
        <v>5</v>
      </c>
      <c r="N21" s="6">
        <f>IFERROR(__xludf.DUMMYFUNCTION("""COMPUTED_VALUE"""),5.0)</f>
        <v>5</v>
      </c>
      <c r="O21" s="6">
        <f>IFERROR(__xludf.DUMMYFUNCTION("""COMPUTED_VALUE"""),0.0)</f>
        <v>0</v>
      </c>
      <c r="P21" s="6">
        <f>IFERROR(__xludf.DUMMYFUNCTION("""COMPUTED_VALUE"""),5.0)</f>
        <v>5</v>
      </c>
      <c r="Q21" s="6">
        <f>IFERROR(__xludf.DUMMYFUNCTION("""COMPUTED_VALUE"""),5.0)</f>
        <v>5</v>
      </c>
      <c r="R21" s="6"/>
      <c r="S21" s="8">
        <f>IFERROR(__xludf.DUMMYFUNCTION("""COMPUTED_VALUE"""),4.510000000000001)</f>
        <v>4.51</v>
      </c>
      <c r="T21" s="12">
        <f>IFERROR(__xludf.DUMMYFUNCTION("""COMPUTED_VALUE"""),1.5033333333333336)</f>
        <v>1.503333333</v>
      </c>
      <c r="U21" s="6"/>
      <c r="V21" s="6"/>
      <c r="W21" s="6">
        <f>IFERROR(__xludf.DUMMYFUNCTION("""COMPUTED_VALUE"""),4.0)</f>
        <v>4</v>
      </c>
      <c r="X21" s="6"/>
      <c r="Y21" s="6">
        <f>IFERROR(__xludf.DUMMYFUNCTION("""COMPUTED_VALUE"""),2262159.0)</f>
        <v>2262159</v>
      </c>
      <c r="Z21" s="6"/>
    </row>
    <row r="22">
      <c r="A22" s="6">
        <f>IFERROR(__xludf.DUMMYFUNCTION("""COMPUTED_VALUE"""),21.0)</f>
        <v>21</v>
      </c>
      <c r="B22" s="5" t="str">
        <f>IFERROR(__xludf.DUMMYFUNCTION("""COMPUTED_VALUE"""),"REMOLINA BAYONA JUAN ESTEBAN")</f>
        <v>REMOLINA BAYONA JUAN ESTEBAN</v>
      </c>
      <c r="C22" s="6">
        <f>IFERROR(__xludf.DUMMYFUNCTION("""COMPUTED_VALUE"""),5.0)</f>
        <v>5</v>
      </c>
      <c r="D22" s="6">
        <f>IFERROR(__xludf.DUMMYFUNCTION("""COMPUTED_VALUE"""),3.8)</f>
        <v>3.8</v>
      </c>
      <c r="E22" s="6">
        <f>IFERROR(__xludf.DUMMYFUNCTION("""COMPUTED_VALUE"""),5.0)</f>
        <v>5</v>
      </c>
      <c r="F22" s="6">
        <f>IFERROR(__xludf.DUMMYFUNCTION("""COMPUTED_VALUE"""),5.0)</f>
        <v>5</v>
      </c>
      <c r="G22" s="6">
        <f>IFERROR(__xludf.DUMMYFUNCTION("""COMPUTED_VALUE"""),4.5)</f>
        <v>4.5</v>
      </c>
      <c r="H22" s="6">
        <f>IFERROR(__xludf.DUMMYFUNCTION("""COMPUTED_VALUE"""),4.6)</f>
        <v>4.6</v>
      </c>
      <c r="I22" s="6">
        <f>IFERROR(__xludf.DUMMYFUNCTION("""COMPUTED_VALUE"""),4.5)</f>
        <v>4.5</v>
      </c>
      <c r="J22" s="6">
        <f>IFERROR(__xludf.DUMMYFUNCTION("""COMPUTED_VALUE"""),3.0)</f>
        <v>3</v>
      </c>
      <c r="K22" s="6">
        <f>IFERROR(__xludf.DUMMYFUNCTION("""COMPUTED_VALUE"""),5.0)</f>
        <v>5</v>
      </c>
      <c r="L22" s="6">
        <f>IFERROR(__xludf.DUMMYFUNCTION("""COMPUTED_VALUE"""),5.0)</f>
        <v>5</v>
      </c>
      <c r="M22" s="6">
        <f>IFERROR(__xludf.DUMMYFUNCTION("""COMPUTED_VALUE"""),5.0)</f>
        <v>5</v>
      </c>
      <c r="N22" s="6">
        <f>IFERROR(__xludf.DUMMYFUNCTION("""COMPUTED_VALUE"""),5.0)</f>
        <v>5</v>
      </c>
      <c r="O22" s="6">
        <f>IFERROR(__xludf.DUMMYFUNCTION("""COMPUTED_VALUE"""),3.33)</f>
        <v>3.33</v>
      </c>
      <c r="P22" s="6">
        <f>IFERROR(__xludf.DUMMYFUNCTION("""COMPUTED_VALUE"""),5.0)</f>
        <v>5</v>
      </c>
      <c r="Q22" s="6">
        <f>IFERROR(__xludf.DUMMYFUNCTION("""COMPUTED_VALUE"""),4.25)</f>
        <v>4.25</v>
      </c>
      <c r="R22" s="6"/>
      <c r="S22" s="8">
        <f>IFERROR(__xludf.DUMMYFUNCTION("""COMPUTED_VALUE"""),4.6000000000000005)</f>
        <v>4.6</v>
      </c>
      <c r="T22" s="12">
        <f>IFERROR(__xludf.DUMMYFUNCTION("""COMPUTED_VALUE"""),1.5333333333333334)</f>
        <v>1.533333333</v>
      </c>
      <c r="U22" s="6"/>
      <c r="V22" s="6"/>
      <c r="W22" s="6">
        <f>IFERROR(__xludf.DUMMYFUNCTION("""COMPUTED_VALUE"""),4.4)</f>
        <v>4.4</v>
      </c>
      <c r="X22" s="6"/>
      <c r="Y22" s="6">
        <f>IFERROR(__xludf.DUMMYFUNCTION("""COMPUTED_VALUE"""),2261724.0)</f>
        <v>2261724</v>
      </c>
      <c r="Z22" s="6"/>
    </row>
    <row r="23">
      <c r="A23" s="6">
        <f>IFERROR(__xludf.DUMMYFUNCTION("""COMPUTED_VALUE"""),22.0)</f>
        <v>22</v>
      </c>
      <c r="B23" s="5" t="str">
        <f>IFERROR(__xludf.DUMMYFUNCTION("""COMPUTED_VALUE"""),"REYES MAYORGA MANUEL ALEJANDRO")</f>
        <v>REYES MAYORGA MANUEL ALEJANDRO</v>
      </c>
      <c r="C23" s="6">
        <f>IFERROR(__xludf.DUMMYFUNCTION("""COMPUTED_VALUE"""),5.0)</f>
        <v>5</v>
      </c>
      <c r="D23" s="6">
        <f>IFERROR(__xludf.DUMMYFUNCTION("""COMPUTED_VALUE"""),5.0)</f>
        <v>5</v>
      </c>
      <c r="E23" s="6">
        <f>IFERROR(__xludf.DUMMYFUNCTION("""COMPUTED_VALUE"""),5.0)</f>
        <v>5</v>
      </c>
      <c r="F23" s="6">
        <f>IFERROR(__xludf.DUMMYFUNCTION("""COMPUTED_VALUE"""),5.0)</f>
        <v>5</v>
      </c>
      <c r="G23" s="6">
        <f>IFERROR(__xludf.DUMMYFUNCTION("""COMPUTED_VALUE"""),5.0)</f>
        <v>5</v>
      </c>
      <c r="H23" s="6">
        <f>IFERROR(__xludf.DUMMYFUNCTION("""COMPUTED_VALUE"""),5.0)</f>
        <v>5</v>
      </c>
      <c r="I23" s="6">
        <f>IFERROR(__xludf.DUMMYFUNCTION("""COMPUTED_VALUE"""),5.0)</f>
        <v>5</v>
      </c>
      <c r="J23" s="6">
        <f>IFERROR(__xludf.DUMMYFUNCTION("""COMPUTED_VALUE"""),5.0)</f>
        <v>5</v>
      </c>
      <c r="K23" s="6">
        <f>IFERROR(__xludf.DUMMYFUNCTION("""COMPUTED_VALUE"""),5.0)</f>
        <v>5</v>
      </c>
      <c r="L23" s="6">
        <f>IFERROR(__xludf.DUMMYFUNCTION("""COMPUTED_VALUE"""),5.0)</f>
        <v>5</v>
      </c>
      <c r="M23" s="6">
        <f>IFERROR(__xludf.DUMMYFUNCTION("""COMPUTED_VALUE"""),5.0)</f>
        <v>5</v>
      </c>
      <c r="N23" s="6">
        <f>IFERROR(__xludf.DUMMYFUNCTION("""COMPUTED_VALUE"""),5.0)</f>
        <v>5</v>
      </c>
      <c r="O23" s="6">
        <f>IFERROR(__xludf.DUMMYFUNCTION("""COMPUTED_VALUE"""),5.0)</f>
        <v>5</v>
      </c>
      <c r="P23" s="6">
        <f>IFERROR(__xludf.DUMMYFUNCTION("""COMPUTED_VALUE"""),5.0)</f>
        <v>5</v>
      </c>
      <c r="Q23" s="6">
        <f>IFERROR(__xludf.DUMMYFUNCTION("""COMPUTED_VALUE"""),5.0)</f>
        <v>5</v>
      </c>
      <c r="R23" s="6"/>
      <c r="S23" s="8">
        <f>IFERROR(__xludf.DUMMYFUNCTION("""COMPUTED_VALUE"""),5.0)</f>
        <v>5</v>
      </c>
      <c r="T23" s="12">
        <f>IFERROR(__xludf.DUMMYFUNCTION("""COMPUTED_VALUE"""),1.6666666666666667)</f>
        <v>1.666666667</v>
      </c>
      <c r="U23" s="6"/>
      <c r="V23" s="6"/>
      <c r="W23" s="6">
        <f>IFERROR(__xludf.DUMMYFUNCTION("""COMPUTED_VALUE"""),5.0)</f>
        <v>5</v>
      </c>
      <c r="X23" s="6"/>
      <c r="Y23" s="6">
        <f>IFERROR(__xludf.DUMMYFUNCTION("""COMPUTED_VALUE"""),2262163.0)</f>
        <v>2262163</v>
      </c>
      <c r="Z23" s="6"/>
    </row>
    <row r="24">
      <c r="A24" s="6">
        <f>IFERROR(__xludf.DUMMYFUNCTION("""COMPUTED_VALUE"""),23.0)</f>
        <v>23</v>
      </c>
      <c r="B24" s="5" t="str">
        <f>IFERROR(__xludf.DUMMYFUNCTION("""COMPUTED_VALUE"""),"ROJAS JAIMES PEDRO EMANUEL")</f>
        <v>ROJAS JAIMES PEDRO EMANUEL</v>
      </c>
      <c r="C24" s="6">
        <f>IFERROR(__xludf.DUMMYFUNCTION("""COMPUTED_VALUE"""),4.5)</f>
        <v>4.5</v>
      </c>
      <c r="D24" s="6">
        <f>IFERROR(__xludf.DUMMYFUNCTION("""COMPUTED_VALUE"""),4.5)</f>
        <v>4.5</v>
      </c>
      <c r="E24" s="6">
        <f>IFERROR(__xludf.DUMMYFUNCTION("""COMPUTED_VALUE"""),4.4)</f>
        <v>4.4</v>
      </c>
      <c r="F24" s="6">
        <f>IFERROR(__xludf.DUMMYFUNCTION("""COMPUTED_VALUE"""),3.5)</f>
        <v>3.5</v>
      </c>
      <c r="G24" s="6">
        <f>IFERROR(__xludf.DUMMYFUNCTION("""COMPUTED_VALUE"""),4.3)</f>
        <v>4.3</v>
      </c>
      <c r="H24" s="6">
        <f>IFERROR(__xludf.DUMMYFUNCTION("""COMPUTED_VALUE"""),5.0)</f>
        <v>5</v>
      </c>
      <c r="I24" s="6">
        <f>IFERROR(__xludf.DUMMYFUNCTION("""COMPUTED_VALUE"""),4.3)</f>
        <v>4.3</v>
      </c>
      <c r="J24" s="6">
        <f>IFERROR(__xludf.DUMMYFUNCTION("""COMPUTED_VALUE"""),3.5)</f>
        <v>3.5</v>
      </c>
      <c r="K24" s="6">
        <f>IFERROR(__xludf.DUMMYFUNCTION("""COMPUTED_VALUE"""),5.0)</f>
        <v>5</v>
      </c>
      <c r="L24" s="6">
        <f>IFERROR(__xludf.DUMMYFUNCTION("""COMPUTED_VALUE"""),5.0)</f>
        <v>5</v>
      </c>
      <c r="M24" s="6">
        <f>IFERROR(__xludf.DUMMYFUNCTION("""COMPUTED_VALUE"""),5.0)</f>
        <v>5</v>
      </c>
      <c r="N24" s="6">
        <f>IFERROR(__xludf.DUMMYFUNCTION("""COMPUTED_VALUE"""),5.0)</f>
        <v>5</v>
      </c>
      <c r="O24" s="6">
        <f>IFERROR(__xludf.DUMMYFUNCTION("""COMPUTED_VALUE"""),0.13)</f>
        <v>0.13</v>
      </c>
      <c r="P24" s="6">
        <f>IFERROR(__xludf.DUMMYFUNCTION("""COMPUTED_VALUE"""),5.0)</f>
        <v>5</v>
      </c>
      <c r="Q24" s="6">
        <f>IFERROR(__xludf.DUMMYFUNCTION("""COMPUTED_VALUE"""),0.5)</f>
        <v>0.5</v>
      </c>
      <c r="R24" s="6"/>
      <c r="S24" s="8">
        <f>IFERROR(__xludf.DUMMYFUNCTION("""COMPUTED_VALUE"""),4.24)</f>
        <v>4.24</v>
      </c>
      <c r="T24" s="12">
        <f>IFERROR(__xludf.DUMMYFUNCTION("""COMPUTED_VALUE"""),1.4133333333333333)</f>
        <v>1.413333333</v>
      </c>
      <c r="U24" s="6"/>
      <c r="V24" s="6"/>
      <c r="W24" s="6">
        <f>IFERROR(__xludf.DUMMYFUNCTION("""COMPUTED_VALUE"""),3.6)</f>
        <v>3.6</v>
      </c>
      <c r="X24" s="6"/>
      <c r="Y24" s="6">
        <f>IFERROR(__xludf.DUMMYFUNCTION("""COMPUTED_VALUE"""),2261994.0)</f>
        <v>2261994</v>
      </c>
      <c r="Z24" s="6"/>
    </row>
    <row r="25">
      <c r="A25" s="6">
        <f>IFERROR(__xludf.DUMMYFUNCTION("""COMPUTED_VALUE"""),24.0)</f>
        <v>24</v>
      </c>
      <c r="B25" s="5" t="str">
        <f>IFERROR(__xludf.DUMMYFUNCTION("""COMPUTED_VALUE"""),"ROMERO JURADO JOHAN SEBASTIAN")</f>
        <v>ROMERO JURADO JOHAN SEBASTIAN</v>
      </c>
      <c r="C25" s="6">
        <f>IFERROR(__xludf.DUMMYFUNCTION("""COMPUTED_VALUE"""),5.0)</f>
        <v>5</v>
      </c>
      <c r="D25" s="6">
        <f>IFERROR(__xludf.DUMMYFUNCTION("""COMPUTED_VALUE"""),3.9)</f>
        <v>3.9</v>
      </c>
      <c r="E25" s="6">
        <f>IFERROR(__xludf.DUMMYFUNCTION("""COMPUTED_VALUE"""),5.0)</f>
        <v>5</v>
      </c>
      <c r="F25" s="6">
        <f>IFERROR(__xludf.DUMMYFUNCTION("""COMPUTED_VALUE"""),3.0)</f>
        <v>3</v>
      </c>
      <c r="G25" s="6">
        <f>IFERROR(__xludf.DUMMYFUNCTION("""COMPUTED_VALUE"""),4.7)</f>
        <v>4.7</v>
      </c>
      <c r="H25" s="6">
        <f>IFERROR(__xludf.DUMMYFUNCTION("""COMPUTED_VALUE"""),5.0)</f>
        <v>5</v>
      </c>
      <c r="I25" s="6">
        <f>IFERROR(__xludf.DUMMYFUNCTION("""COMPUTED_VALUE"""),4.7)</f>
        <v>4.7</v>
      </c>
      <c r="J25" s="6">
        <f>IFERROR(__xludf.DUMMYFUNCTION("""COMPUTED_VALUE"""),5.0)</f>
        <v>5</v>
      </c>
      <c r="K25" s="6">
        <f>IFERROR(__xludf.DUMMYFUNCTION("""COMPUTED_VALUE"""),5.0)</f>
        <v>5</v>
      </c>
      <c r="L25" s="6">
        <f>IFERROR(__xludf.DUMMYFUNCTION("""COMPUTED_VALUE"""),5.0)</f>
        <v>5</v>
      </c>
      <c r="M25" s="6">
        <f>IFERROR(__xludf.DUMMYFUNCTION("""COMPUTED_VALUE"""),5.0)</f>
        <v>5</v>
      </c>
      <c r="N25" s="6">
        <f>IFERROR(__xludf.DUMMYFUNCTION("""COMPUTED_VALUE"""),5.0)</f>
        <v>5</v>
      </c>
      <c r="O25" s="6">
        <f>IFERROR(__xludf.DUMMYFUNCTION("""COMPUTED_VALUE"""),0.0)</f>
        <v>0</v>
      </c>
      <c r="P25" s="6">
        <f>IFERROR(__xludf.DUMMYFUNCTION("""COMPUTED_VALUE"""),5.0)</f>
        <v>5</v>
      </c>
      <c r="Q25" s="6">
        <f>IFERROR(__xludf.DUMMYFUNCTION("""COMPUTED_VALUE"""),4.5)</f>
        <v>4.5</v>
      </c>
      <c r="R25" s="6"/>
      <c r="S25" s="8">
        <f>IFERROR(__xludf.DUMMYFUNCTION("""COMPUTED_VALUE"""),4.265000000000001)</f>
        <v>4.265</v>
      </c>
      <c r="T25" s="12">
        <f>IFERROR(__xludf.DUMMYFUNCTION("""COMPUTED_VALUE"""),1.4216666666666669)</f>
        <v>1.421666667</v>
      </c>
      <c r="U25" s="6"/>
      <c r="V25" s="6"/>
      <c r="W25" s="6">
        <f>IFERROR(__xludf.DUMMYFUNCTION("""COMPUTED_VALUE"""),4.3)</f>
        <v>4.3</v>
      </c>
      <c r="X25" s="6"/>
      <c r="Y25" s="6">
        <f>IFERROR(__xludf.DUMMYFUNCTION("""COMPUTED_VALUE"""),2261922.0)</f>
        <v>2261922</v>
      </c>
      <c r="Z25" s="6"/>
    </row>
    <row r="26">
      <c r="A26" s="6">
        <f>IFERROR(__xludf.DUMMYFUNCTION("""COMPUTED_VALUE"""),25.0)</f>
        <v>25</v>
      </c>
      <c r="B26" s="5" t="str">
        <f>IFERROR(__xludf.DUMMYFUNCTION("""COMPUTED_VALUE"""),"SERRANO CORREDOR CAMILO")</f>
        <v>SERRANO CORREDOR CAMILO</v>
      </c>
      <c r="C26" s="6">
        <f>IFERROR(__xludf.DUMMYFUNCTION("""COMPUTED_VALUE"""),3.4)</f>
        <v>3.4</v>
      </c>
      <c r="D26" s="6">
        <f>IFERROR(__xludf.DUMMYFUNCTION("""COMPUTED_VALUE"""),0.0)</f>
        <v>0</v>
      </c>
      <c r="E26" s="6">
        <f>IFERROR(__xludf.DUMMYFUNCTION("""COMPUTED_VALUE"""),0.0)</f>
        <v>0</v>
      </c>
      <c r="F26" s="6">
        <f>IFERROR(__xludf.DUMMYFUNCTION("""COMPUTED_VALUE"""),0.0)</f>
        <v>0</v>
      </c>
      <c r="G26" s="6">
        <f>IFERROR(__xludf.DUMMYFUNCTION("""COMPUTED_VALUE"""),1.9)</f>
        <v>1.9</v>
      </c>
      <c r="H26" s="6">
        <f>IFERROR(__xludf.DUMMYFUNCTION("""COMPUTED_VALUE"""),0.0)</f>
        <v>0</v>
      </c>
      <c r="I26" s="6">
        <f>IFERROR(__xludf.DUMMYFUNCTION("""COMPUTED_VALUE"""),1.0)</f>
        <v>1</v>
      </c>
      <c r="J26" s="6">
        <f>IFERROR(__xludf.DUMMYFUNCTION("""COMPUTED_VALUE"""),3.5)</f>
        <v>3.5</v>
      </c>
      <c r="K26" s="6">
        <f>IFERROR(__xludf.DUMMYFUNCTION("""COMPUTED_VALUE"""),4.5)</f>
        <v>4.5</v>
      </c>
      <c r="L26" s="6">
        <f>IFERROR(__xludf.DUMMYFUNCTION("""COMPUTED_VALUE"""),5.0)</f>
        <v>5</v>
      </c>
      <c r="M26" s="6">
        <f>IFERROR(__xludf.DUMMYFUNCTION("""COMPUTED_VALUE"""),0.0)</f>
        <v>0</v>
      </c>
      <c r="N26" s="6">
        <f>IFERROR(__xludf.DUMMYFUNCTION("""COMPUTED_VALUE"""),0.0)</f>
        <v>0</v>
      </c>
      <c r="O26" s="6">
        <f>IFERROR(__xludf.DUMMYFUNCTION("""COMPUTED_VALUE"""),0.0)</f>
        <v>0</v>
      </c>
      <c r="P26" s="6">
        <f>IFERROR(__xludf.DUMMYFUNCTION("""COMPUTED_VALUE"""),0.0)</f>
        <v>0</v>
      </c>
      <c r="Q26" s="6" t="str">
        <f>IFERROR(__xludf.DUMMYFUNCTION("""COMPUTED_VALUE""")," ")</f>
        <v> </v>
      </c>
      <c r="R26" s="6"/>
      <c r="S26" s="8">
        <f>IFERROR(__xludf.DUMMYFUNCTION("""COMPUTED_VALUE"""),0.89)</f>
        <v>0.89</v>
      </c>
      <c r="T26" s="12">
        <f>IFERROR(__xludf.DUMMYFUNCTION("""COMPUTED_VALUE"""),0.2966666666666667)</f>
        <v>0.2966666667</v>
      </c>
      <c r="U26" s="6"/>
      <c r="V26" s="6"/>
      <c r="W26" s="6">
        <f>IFERROR(__xludf.DUMMYFUNCTION("""COMPUTED_VALUE"""),1.9)</f>
        <v>1.9</v>
      </c>
      <c r="X26" s="6"/>
      <c r="Y26" s="6">
        <f>IFERROR(__xludf.DUMMYFUNCTION("""COMPUTED_VALUE"""),2261853.0)</f>
        <v>2261853</v>
      </c>
      <c r="Z26" s="6"/>
    </row>
    <row r="27">
      <c r="A27" s="6">
        <f>IFERROR(__xludf.DUMMYFUNCTION("""COMPUTED_VALUE"""),26.0)</f>
        <v>26</v>
      </c>
      <c r="B27" s="5" t="str">
        <f>IFERROR(__xludf.DUMMYFUNCTION("""COMPUTED_VALUE"""),"TABARES GAVIRIA JUAN ANDRES")</f>
        <v>TABARES GAVIRIA JUAN ANDRES</v>
      </c>
      <c r="C27" s="6">
        <f>IFERROR(__xludf.DUMMYFUNCTION("""COMPUTED_VALUE"""),3.2)</f>
        <v>3.2</v>
      </c>
      <c r="D27" s="6">
        <f>IFERROR(__xludf.DUMMYFUNCTION("""COMPUTED_VALUE"""),2.5)</f>
        <v>2.5</v>
      </c>
      <c r="E27" s="6">
        <f>IFERROR(__xludf.DUMMYFUNCTION("""COMPUTED_VALUE"""),3.0)</f>
        <v>3</v>
      </c>
      <c r="F27" s="6">
        <f>IFERROR(__xludf.DUMMYFUNCTION("""COMPUTED_VALUE"""),2.5)</f>
        <v>2.5</v>
      </c>
      <c r="G27" s="6">
        <f>IFERROR(__xludf.DUMMYFUNCTION("""COMPUTED_VALUE"""),4.8)</f>
        <v>4.8</v>
      </c>
      <c r="H27" s="6">
        <f>IFERROR(__xludf.DUMMYFUNCTION("""COMPUTED_VALUE"""),5.0)</f>
        <v>5</v>
      </c>
      <c r="I27" s="6">
        <f>IFERROR(__xludf.DUMMYFUNCTION("""COMPUTED_VALUE"""),4.8)</f>
        <v>4.8</v>
      </c>
      <c r="J27" s="6">
        <f>IFERROR(__xludf.DUMMYFUNCTION("""COMPUTED_VALUE"""),2.0)</f>
        <v>2</v>
      </c>
      <c r="K27" s="6">
        <f>IFERROR(__xludf.DUMMYFUNCTION("""COMPUTED_VALUE"""),5.0)</f>
        <v>5</v>
      </c>
      <c r="L27" s="6">
        <f>IFERROR(__xludf.DUMMYFUNCTION("""COMPUTED_VALUE"""),5.0)</f>
        <v>5</v>
      </c>
      <c r="M27" s="6">
        <f>IFERROR(__xludf.DUMMYFUNCTION("""COMPUTED_VALUE"""),5.0)</f>
        <v>5</v>
      </c>
      <c r="N27" s="6">
        <f>IFERROR(__xludf.DUMMYFUNCTION("""COMPUTED_VALUE"""),5.0)</f>
        <v>5</v>
      </c>
      <c r="O27" s="6">
        <f>IFERROR(__xludf.DUMMYFUNCTION("""COMPUTED_VALUE"""),5.0)</f>
        <v>5</v>
      </c>
      <c r="P27" s="6">
        <f>IFERROR(__xludf.DUMMYFUNCTION("""COMPUTED_VALUE"""),5.0)</f>
        <v>5</v>
      </c>
      <c r="Q27" s="6" t="str">
        <f>IFERROR(__xludf.DUMMYFUNCTION("""COMPUTED_VALUE""")," ")</f>
        <v> </v>
      </c>
      <c r="R27" s="6"/>
      <c r="S27" s="8">
        <f>IFERROR(__xludf.DUMMYFUNCTION("""COMPUTED_VALUE"""),3.165)</f>
        <v>3.165</v>
      </c>
      <c r="T27" s="12">
        <f>IFERROR(__xludf.DUMMYFUNCTION("""COMPUTED_VALUE"""),1.055)</f>
        <v>1.055</v>
      </c>
      <c r="U27" s="6"/>
      <c r="V27" s="6"/>
      <c r="W27" s="6">
        <f>IFERROR(__xludf.DUMMYFUNCTION("""COMPUTED_VALUE"""),4.6)</f>
        <v>4.6</v>
      </c>
      <c r="X27" s="6"/>
      <c r="Y27" s="6">
        <f>IFERROR(__xludf.DUMMYFUNCTION("""COMPUTED_VALUE"""),2262071.0)</f>
        <v>2262071</v>
      </c>
      <c r="Z27" s="6"/>
    </row>
    <row r="28">
      <c r="A28" s="6">
        <f>IFERROR(__xludf.DUMMYFUNCTION("""COMPUTED_VALUE"""),27.0)</f>
        <v>27</v>
      </c>
      <c r="B28" s="5" t="str">
        <f>IFERROR(__xludf.DUMMYFUNCTION("""COMPUTED_VALUE"""),"TORRES VALENZUELA DANIEL ARTURO")</f>
        <v>TORRES VALENZUELA DANIEL ARTURO</v>
      </c>
      <c r="C28" s="6">
        <f>IFERROR(__xludf.DUMMYFUNCTION("""COMPUTED_VALUE"""),3.4)</f>
        <v>3.4</v>
      </c>
      <c r="D28" s="6">
        <f>IFERROR(__xludf.DUMMYFUNCTION("""COMPUTED_VALUE"""),3.0)</f>
        <v>3</v>
      </c>
      <c r="E28" s="6">
        <f>IFERROR(__xludf.DUMMYFUNCTION("""COMPUTED_VALUE"""),4.0)</f>
        <v>4</v>
      </c>
      <c r="F28" s="6">
        <f>IFERROR(__xludf.DUMMYFUNCTION("""COMPUTED_VALUE"""),2.0)</f>
        <v>2</v>
      </c>
      <c r="G28" s="6">
        <f>IFERROR(__xludf.DUMMYFUNCTION("""COMPUTED_VALUE"""),4.8)</f>
        <v>4.8</v>
      </c>
      <c r="H28" s="6">
        <f>IFERROR(__xludf.DUMMYFUNCTION("""COMPUTED_VALUE"""),5.0)</f>
        <v>5</v>
      </c>
      <c r="I28" s="6">
        <f>IFERROR(__xludf.DUMMYFUNCTION("""COMPUTED_VALUE"""),4.8)</f>
        <v>4.8</v>
      </c>
      <c r="J28" s="6">
        <f>IFERROR(__xludf.DUMMYFUNCTION("""COMPUTED_VALUE"""),2.0)</f>
        <v>2</v>
      </c>
      <c r="K28" s="6">
        <f>IFERROR(__xludf.DUMMYFUNCTION("""COMPUTED_VALUE"""),5.0)</f>
        <v>5</v>
      </c>
      <c r="L28" s="6">
        <f>IFERROR(__xludf.DUMMYFUNCTION("""COMPUTED_VALUE"""),5.0)</f>
        <v>5</v>
      </c>
      <c r="M28" s="6">
        <f>IFERROR(__xludf.DUMMYFUNCTION("""COMPUTED_VALUE"""),5.0)</f>
        <v>5</v>
      </c>
      <c r="N28" s="6">
        <f>IFERROR(__xludf.DUMMYFUNCTION("""COMPUTED_VALUE"""),5.0)</f>
        <v>5</v>
      </c>
      <c r="O28" s="6">
        <f>IFERROR(__xludf.DUMMYFUNCTION("""COMPUTED_VALUE"""),5.0)</f>
        <v>5</v>
      </c>
      <c r="P28" s="6">
        <f>IFERROR(__xludf.DUMMYFUNCTION("""COMPUTED_VALUE"""),5.0)</f>
        <v>5</v>
      </c>
      <c r="Q28" s="6">
        <f>IFERROR(__xludf.DUMMYFUNCTION("""COMPUTED_VALUE"""),5.0)</f>
        <v>5</v>
      </c>
      <c r="R28" s="6"/>
      <c r="S28" s="8">
        <f>IFERROR(__xludf.DUMMYFUNCTION("""COMPUTED_VALUE"""),3.42)</f>
        <v>3.42</v>
      </c>
      <c r="T28" s="12">
        <f>IFERROR(__xludf.DUMMYFUNCTION("""COMPUTED_VALUE"""),1.14)</f>
        <v>1.14</v>
      </c>
      <c r="U28" s="6"/>
      <c r="V28" s="6"/>
      <c r="W28" s="6">
        <f>IFERROR(__xludf.DUMMYFUNCTION("""COMPUTED_VALUE"""),4.6)</f>
        <v>4.6</v>
      </c>
      <c r="X28" s="6"/>
      <c r="Y28" s="6">
        <f>IFERROR(__xludf.DUMMYFUNCTION("""COMPUTED_VALUE"""),2262009.0)</f>
        <v>2262009</v>
      </c>
      <c r="Z28" s="6"/>
    </row>
  </sheetData>
  <conditionalFormatting sqref="S2:S28">
    <cfRule type="cellIs" dxfId="0" priority="1" operator="greaterThanOrEqual">
      <formula>3</formula>
    </cfRule>
  </conditionalFormatting>
  <conditionalFormatting sqref="S2:S28">
    <cfRule type="cellIs" dxfId="1" priority="2" operator="between">
      <formula>2.8</formula>
      <formula>2.9999</formula>
    </cfRule>
  </conditionalFormatting>
  <conditionalFormatting sqref="S2:S28">
    <cfRule type="cellIs" dxfId="4" priority="3" operator="lessThan">
      <formula>2.8</formula>
    </cfRule>
  </conditionalFormatting>
  <drawing r:id="rId1"/>
</worksheet>
</file>